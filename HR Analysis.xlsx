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CHIKWADO\Desktop\All Folders\Data Analytics\Excel &amp; Power Bi real life project\Project 5\"/>
    </mc:Choice>
  </mc:AlternateContent>
  <xr:revisionPtr revIDLastSave="0" documentId="13_ncr:1_{52ACCC27-04A3-49ED-9F6D-895F816CB837}" xr6:coauthVersionLast="47" xr6:coauthVersionMax="47" xr10:uidLastSave="{00000000-0000-0000-0000-000000000000}"/>
  <bookViews>
    <workbookView xWindow="-120" yWindow="-120" windowWidth="24240" windowHeight="13140" activeTab="1" xr2:uid="{C8D14920-1CC5-46B8-8BA7-CBC2A2099F69}"/>
  </bookViews>
  <sheets>
    <sheet name="Pivot" sheetId="2" r:id="rId1"/>
    <sheet name="Dashboard" sheetId="3" r:id="rId2"/>
    <sheet name="Data" sheetId="1" r:id="rId3"/>
  </sheets>
  <externalReferences>
    <externalReference r:id="rId4"/>
  </externalReferences>
  <definedNames>
    <definedName name="_xlchart.v2.0" hidden="1">Pivot!$W$16:$W$22</definedName>
    <definedName name="_xlchart.v2.1" hidden="1">Pivot!$X$15</definedName>
    <definedName name="_xlchart.v2.2" hidden="1">Pivot!$X$16:$X$22</definedName>
    <definedName name="_xlchart.v2.3" hidden="1">Pivot!$Y$15</definedName>
    <definedName name="_xlchart.v2.4" hidden="1">Pivot!$Y$16:$Y$22</definedName>
    <definedName name="Slicer_Department">#N/A</definedName>
    <definedName name="Slicer_Reporting_Manag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17" i="2" l="1"/>
  <c r="AF18" i="2"/>
  <c r="AF19" i="2"/>
  <c r="AF20" i="2"/>
  <c r="AF21" i="2"/>
  <c r="AF16" i="2"/>
  <c r="AB17" i="2"/>
  <c r="AB16" i="2"/>
  <c r="X17" i="2"/>
  <c r="X18" i="2"/>
  <c r="X19" i="2"/>
  <c r="X20" i="2"/>
  <c r="X21" i="2"/>
  <c r="X22" i="2"/>
  <c r="X16" i="2"/>
  <c r="T17" i="2"/>
  <c r="T18" i="2"/>
  <c r="T19" i="2"/>
  <c r="T20" i="2"/>
  <c r="T21" i="2"/>
  <c r="T22" i="2"/>
  <c r="T16" i="2"/>
  <c r="P17" i="2"/>
  <c r="P18" i="2"/>
  <c r="P19" i="2"/>
  <c r="P16" i="2"/>
  <c r="L17" i="2"/>
  <c r="L16" i="2"/>
  <c r="B16" i="2"/>
  <c r="H17" i="2"/>
  <c r="H18" i="2"/>
  <c r="H19" i="2"/>
  <c r="H20" i="2"/>
  <c r="H21" i="2"/>
  <c r="H16" i="2"/>
  <c r="H22" i="2" s="1"/>
  <c r="B20" i="2" s="1"/>
  <c r="G17" i="2"/>
  <c r="G18" i="2"/>
  <c r="G19" i="2"/>
  <c r="G20" i="2"/>
  <c r="G21" i="2"/>
  <c r="G16" i="2"/>
  <c r="F17" i="2"/>
  <c r="F18" i="2"/>
  <c r="F19" i="2"/>
  <c r="F20" i="2"/>
  <c r="F21" i="2"/>
  <c r="F16" i="2"/>
  <c r="F22" i="2" s="1"/>
  <c r="B18" i="2" s="1"/>
  <c r="B19" i="2" s="1"/>
  <c r="AB18" i="2" l="1"/>
  <c r="AC16" i="2" s="1"/>
  <c r="T23" i="2"/>
  <c r="U16" i="2" s="1"/>
  <c r="I16" i="2"/>
  <c r="I17" i="2" s="1"/>
  <c r="I18" i="2" s="1"/>
  <c r="I19" i="2" s="1"/>
  <c r="I20" i="2" s="1"/>
  <c r="I21" i="2" s="1"/>
  <c r="G22" i="2"/>
  <c r="I22" i="2" s="1"/>
  <c r="B17" i="2" s="1"/>
  <c r="AF22" i="2"/>
  <c r="AG16" i="2" s="1"/>
  <c r="X23" i="2"/>
  <c r="Y16" i="2" s="1"/>
  <c r="P20" i="2"/>
  <c r="Q16" i="2" s="1"/>
  <c r="L18" i="2"/>
  <c r="M16" i="2"/>
  <c r="AC17" i="2" l="1"/>
  <c r="AC18" i="2"/>
  <c r="U22" i="2"/>
  <c r="U21" i="2"/>
  <c r="U20" i="2"/>
  <c r="U19" i="2"/>
  <c r="U18" i="2"/>
  <c r="U17" i="2"/>
  <c r="U23" i="2"/>
  <c r="AG21" i="2"/>
  <c r="AG17" i="2"/>
  <c r="AG20" i="2"/>
  <c r="AG19" i="2"/>
  <c r="AG18" i="2"/>
  <c r="AG22" i="2"/>
  <c r="Y21" i="2"/>
  <c r="Y18" i="2"/>
  <c r="Y19" i="2"/>
  <c r="Y22" i="2"/>
  <c r="Y20" i="2"/>
  <c r="Y17" i="2"/>
  <c r="Y23" i="2"/>
  <c r="Q18" i="2"/>
  <c r="Q19" i="2"/>
  <c r="Q17" i="2"/>
  <c r="Q20" i="2"/>
  <c r="M17" i="2"/>
  <c r="M18" i="2"/>
</calcChain>
</file>

<file path=xl/sharedStrings.xml><?xml version="1.0" encoding="utf-8"?>
<sst xmlns="http://schemas.openxmlformats.org/spreadsheetml/2006/main" count="1734" uniqueCount="253">
  <si>
    <t>Emp Status</t>
  </si>
  <si>
    <t>Movement</t>
  </si>
  <si>
    <t>Emp Id</t>
  </si>
  <si>
    <t>Name</t>
  </si>
  <si>
    <t>Date of Joining</t>
  </si>
  <si>
    <t>Data of Relieving</t>
  </si>
  <si>
    <t>Reporting Manager</t>
  </si>
  <si>
    <t>Emp Type</t>
  </si>
  <si>
    <t>Category</t>
  </si>
  <si>
    <t>Date of Birth</t>
  </si>
  <si>
    <t>Marital status</t>
  </si>
  <si>
    <t>Grade</t>
  </si>
  <si>
    <t>Department</t>
  </si>
  <si>
    <t>Total Experience</t>
  </si>
  <si>
    <t>Year</t>
  </si>
  <si>
    <t>Stability</t>
  </si>
  <si>
    <t>On-Board</t>
  </si>
  <si>
    <t>IJP</t>
  </si>
  <si>
    <t>CT18807</t>
  </si>
  <si>
    <t>Adrian Odonnell</t>
  </si>
  <si>
    <t>Roberta Moyer</t>
  </si>
  <si>
    <t>Contract</t>
  </si>
  <si>
    <t>Male</t>
  </si>
  <si>
    <t>Single</t>
  </si>
  <si>
    <t>Operations</t>
  </si>
  <si>
    <t>5+ years</t>
  </si>
  <si>
    <t>Attrition</t>
  </si>
  <si>
    <t>CT12674</t>
  </si>
  <si>
    <t>Marina Velazquez</t>
  </si>
  <si>
    <t>Married</t>
  </si>
  <si>
    <t>Trainees</t>
  </si>
  <si>
    <t>Accounting</t>
  </si>
  <si>
    <t>CT11735</t>
  </si>
  <si>
    <t>Regina Schaefer</t>
  </si>
  <si>
    <t>4+ years</t>
  </si>
  <si>
    <t>CT10131</t>
  </si>
  <si>
    <t>Donna Sparks</t>
  </si>
  <si>
    <t>Legal</t>
  </si>
  <si>
    <t>CT16953</t>
  </si>
  <si>
    <t>Sal Glass</t>
  </si>
  <si>
    <t>Ryan Simmons</t>
  </si>
  <si>
    <t>Female</t>
  </si>
  <si>
    <t>Marketing</t>
  </si>
  <si>
    <t>CT11213</t>
  </si>
  <si>
    <t>Malik Schneider</t>
  </si>
  <si>
    <t>Darryl Leon</t>
  </si>
  <si>
    <t>Finance</t>
  </si>
  <si>
    <t>3+ years</t>
  </si>
  <si>
    <t>CT17933</t>
  </si>
  <si>
    <t>Fanny Hampton</t>
  </si>
  <si>
    <t>CT17253</t>
  </si>
  <si>
    <t>Edison York</t>
  </si>
  <si>
    <t>HR</t>
  </si>
  <si>
    <t>CT14693</t>
  </si>
  <si>
    <t>Geraldo Pugh</t>
  </si>
  <si>
    <t>Geneva Hardy</t>
  </si>
  <si>
    <t>CT11465</t>
  </si>
  <si>
    <t>Ellis Best</t>
  </si>
  <si>
    <t>CT12948</t>
  </si>
  <si>
    <t>Olen Walter</t>
  </si>
  <si>
    <t>Janelle Wiley</t>
  </si>
  <si>
    <t>CT11145</t>
  </si>
  <si>
    <t>Mckinley Baird</t>
  </si>
  <si>
    <t>CT18269</t>
  </si>
  <si>
    <t>Maura Huynh</t>
  </si>
  <si>
    <t>Sales</t>
  </si>
  <si>
    <t>CT13931</t>
  </si>
  <si>
    <t>Buster Joyce</t>
  </si>
  <si>
    <t>Alejandra Mack</t>
  </si>
  <si>
    <t>2+ years</t>
  </si>
  <si>
    <t>CT15252</t>
  </si>
  <si>
    <t>Rosanna Bauer</t>
  </si>
  <si>
    <t>CT13664</t>
  </si>
  <si>
    <t>Marion Harmon</t>
  </si>
  <si>
    <t>CT10043</t>
  </si>
  <si>
    <t>Shawn Ross</t>
  </si>
  <si>
    <t>1+ years</t>
  </si>
  <si>
    <t>CT16547</t>
  </si>
  <si>
    <t>Houston Wilson</t>
  </si>
  <si>
    <t>CT11188</t>
  </si>
  <si>
    <t>Maricela Gates</t>
  </si>
  <si>
    <t>CT14537</t>
  </si>
  <si>
    <t>Fletcher Tate</t>
  </si>
  <si>
    <t>CT14690</t>
  </si>
  <si>
    <t>Emily Davis</t>
  </si>
  <si>
    <t>Jefferson Perry</t>
  </si>
  <si>
    <t>&lt;1 year</t>
  </si>
  <si>
    <t>CT16195</t>
  </si>
  <si>
    <t>Penelope Jordan</t>
  </si>
  <si>
    <t>CT16735</t>
  </si>
  <si>
    <t>Alfredo Mcclain</t>
  </si>
  <si>
    <t>Preston Case</t>
  </si>
  <si>
    <t>Permanent</t>
  </si>
  <si>
    <t>Branden Kaiser</t>
  </si>
  <si>
    <t>Julia Bell</t>
  </si>
  <si>
    <t>Management</t>
  </si>
  <si>
    <t>Sammy Hancock</t>
  </si>
  <si>
    <t>Mabel Cuevas</t>
  </si>
  <si>
    <t>Norris Madden</t>
  </si>
  <si>
    <t>Vincenzo Mcdowell</t>
  </si>
  <si>
    <t>Chris Mcbride</t>
  </si>
  <si>
    <t>Wesley Berger</t>
  </si>
  <si>
    <t>Bart Sims</t>
  </si>
  <si>
    <t>Professional</t>
  </si>
  <si>
    <t>Tricia Arroyo</t>
  </si>
  <si>
    <t>Kennith Barber</t>
  </si>
  <si>
    <t>Alonzo Harrison</t>
  </si>
  <si>
    <t>Kirk Wagner</t>
  </si>
  <si>
    <t>Zackary Tucker</t>
  </si>
  <si>
    <t>Roberto Ford</t>
  </si>
  <si>
    <t>Sadie Mcmahon</t>
  </si>
  <si>
    <t>Darla Parks</t>
  </si>
  <si>
    <t>Letitia Church</t>
  </si>
  <si>
    <t>Collin Paul</t>
  </si>
  <si>
    <t>Frances Leblanc</t>
  </si>
  <si>
    <t>Alexis Conway</t>
  </si>
  <si>
    <t>Chi Preston</t>
  </si>
  <si>
    <t>Randolph Reilly</t>
  </si>
  <si>
    <t>Howard Wiggins</t>
  </si>
  <si>
    <t>Palmer Hart</t>
  </si>
  <si>
    <t>Lesa Terrell</t>
  </si>
  <si>
    <t>Celeste Moses</t>
  </si>
  <si>
    <t>Leanne Mosley</t>
  </si>
  <si>
    <t>Renaldo Navarro</t>
  </si>
  <si>
    <t>Sonia Ortiz</t>
  </si>
  <si>
    <t>Faith Lopez</t>
  </si>
  <si>
    <t>Kim Ramirez</t>
  </si>
  <si>
    <t>Mariana Chavez</t>
  </si>
  <si>
    <t>Tracey Burch</t>
  </si>
  <si>
    <t>Gabriela Juarez</t>
  </si>
  <si>
    <t>Katheryn Trevino</t>
  </si>
  <si>
    <t>Angelita Townsend</t>
  </si>
  <si>
    <t>Damon Burgess</t>
  </si>
  <si>
    <t>Olen Watts</t>
  </si>
  <si>
    <t>Raymond Levine</t>
  </si>
  <si>
    <t>Sally Hinton</t>
  </si>
  <si>
    <t>Katelyn Ware</t>
  </si>
  <si>
    <t>Jessie Bowen</t>
  </si>
  <si>
    <t>Mac Marquez</t>
  </si>
  <si>
    <t>OnRoll</t>
  </si>
  <si>
    <t>Spencer Webb</t>
  </si>
  <si>
    <t>Valentin Mcdonald</t>
  </si>
  <si>
    <t>Transfer</t>
  </si>
  <si>
    <t>Royce Schneider</t>
  </si>
  <si>
    <t>Kara Mclean</t>
  </si>
  <si>
    <t>Damian Mckee</t>
  </si>
  <si>
    <t>Mohamed Duran</t>
  </si>
  <si>
    <t>Vera Harvey</t>
  </si>
  <si>
    <t>Cristina David</t>
  </si>
  <si>
    <t>Florence Randall</t>
  </si>
  <si>
    <t>Andrea Logan</t>
  </si>
  <si>
    <t>Barrett Wallace</t>
  </si>
  <si>
    <t>Claude Ramsey</t>
  </si>
  <si>
    <t>Mason Wells</t>
  </si>
  <si>
    <t>Whitney Vance</t>
  </si>
  <si>
    <t>Bobbie Harvey</t>
  </si>
  <si>
    <t>Russel Fox</t>
  </si>
  <si>
    <t>Benita Holland</t>
  </si>
  <si>
    <t>Cory Leblanc</t>
  </si>
  <si>
    <t>Isaiah George</t>
  </si>
  <si>
    <t>Brad Nichols</t>
  </si>
  <si>
    <t>Quentin Mcdonald</t>
  </si>
  <si>
    <t>Johnie Pruitt</t>
  </si>
  <si>
    <t>Walker Whitney</t>
  </si>
  <si>
    <t>Alexander Fowler</t>
  </si>
  <si>
    <t>Susanna Humphrey</t>
  </si>
  <si>
    <t>Beth Lowe</t>
  </si>
  <si>
    <t>Casandra Aguilar</t>
  </si>
  <si>
    <t>Lynn Andersen</t>
  </si>
  <si>
    <t>Leola Vega</t>
  </si>
  <si>
    <t>Hillary Spencer</t>
  </si>
  <si>
    <t>Joesph Jones</t>
  </si>
  <si>
    <t>Otha May</t>
  </si>
  <si>
    <t>Ophelia Black</t>
  </si>
  <si>
    <t>Helena Williamson</t>
  </si>
  <si>
    <t>Megan Kent</t>
  </si>
  <si>
    <t>Rufus Escobar</t>
  </si>
  <si>
    <t>Ericka Hurst</t>
  </si>
  <si>
    <t>Johnny Cisneros</t>
  </si>
  <si>
    <t>Alba Norton</t>
  </si>
  <si>
    <t>Sanford Patterson</t>
  </si>
  <si>
    <t>Blanche Greer</t>
  </si>
  <si>
    <t>Nita Powers</t>
  </si>
  <si>
    <t>Francesco Blanchard</t>
  </si>
  <si>
    <t>Elias Davis</t>
  </si>
  <si>
    <t>Lucio Christian</t>
  </si>
  <si>
    <t>Greg Schaefer</t>
  </si>
  <si>
    <t>Adriana Little</t>
  </si>
  <si>
    <t>Abdul Khan</t>
  </si>
  <si>
    <t>Marissa Mckee</t>
  </si>
  <si>
    <t>Ashlee Ortega</t>
  </si>
  <si>
    <t>Edmund Lawson</t>
  </si>
  <si>
    <t>Linda Jacobs</t>
  </si>
  <si>
    <t>Kelley Harding</t>
  </si>
  <si>
    <t>Rose Carney</t>
  </si>
  <si>
    <t>Emery Goodwin</t>
  </si>
  <si>
    <t>Derick Singh</t>
  </si>
  <si>
    <t>Hassan Wilcox</t>
  </si>
  <si>
    <t>Natalie Serrano</t>
  </si>
  <si>
    <t>Sandy Singleton</t>
  </si>
  <si>
    <t>Josiah Hart</t>
  </si>
  <si>
    <t>Wayne Hartman</t>
  </si>
  <si>
    <t>Sallie Carpenter</t>
  </si>
  <si>
    <t>Allen Walters</t>
  </si>
  <si>
    <t>Flora Bass</t>
  </si>
  <si>
    <t>Roberto Harper</t>
  </si>
  <si>
    <t>Isabella Miles</t>
  </si>
  <si>
    <t>Consuelo Beck</t>
  </si>
  <si>
    <t>Barney Velasquez</t>
  </si>
  <si>
    <t>Jamaal Delgado</t>
  </si>
  <si>
    <t>Glenda Ayers</t>
  </si>
  <si>
    <t>Vonda Chandler</t>
  </si>
  <si>
    <t>Elma Perkins</t>
  </si>
  <si>
    <t>Irving Good</t>
  </si>
  <si>
    <t>Carlo Stephens</t>
  </si>
  <si>
    <t>Fermin Maddox</t>
  </si>
  <si>
    <t>Wendell Bonilla</t>
  </si>
  <si>
    <t>Hank Copeland</t>
  </si>
  <si>
    <t>Luciano Arnold</t>
  </si>
  <si>
    <t>Aimee Freeman</t>
  </si>
  <si>
    <t>Jarrett Henson</t>
  </si>
  <si>
    <t>Garland Barber</t>
  </si>
  <si>
    <t>Filiberto Baird</t>
  </si>
  <si>
    <t>Reed Pena</t>
  </si>
  <si>
    <t>Cecile Garner</t>
  </si>
  <si>
    <t>Art Kim</t>
  </si>
  <si>
    <t>Grover Kramer</t>
  </si>
  <si>
    <t>Milan Pope</t>
  </si>
  <si>
    <t>Randal Mata</t>
  </si>
  <si>
    <t>Pete Arroyo</t>
  </si>
  <si>
    <t>Luna Sanders</t>
  </si>
  <si>
    <t>Santos Mooney</t>
  </si>
  <si>
    <t>Theodore Dinh</t>
  </si>
  <si>
    <t>Austin Vo</t>
  </si>
  <si>
    <t>Jermaine Benitez</t>
  </si>
  <si>
    <t>Joshua Gupta</t>
  </si>
  <si>
    <t>Dave Armstrong</t>
  </si>
  <si>
    <t>Count of Name</t>
  </si>
  <si>
    <t>Column Labels</t>
  </si>
  <si>
    <t>Grand Total</t>
  </si>
  <si>
    <t>Row Labels</t>
  </si>
  <si>
    <t>KPI</t>
  </si>
  <si>
    <t>Value</t>
  </si>
  <si>
    <t>Overall HC</t>
  </si>
  <si>
    <t>Active HC</t>
  </si>
  <si>
    <t>Attrition %</t>
  </si>
  <si>
    <t>Gender</t>
  </si>
  <si>
    <t>HC</t>
  </si>
  <si>
    <t>HC %</t>
  </si>
  <si>
    <t>Level</t>
  </si>
  <si>
    <t>Dept</t>
  </si>
  <si>
    <t>Manager</t>
  </si>
  <si>
    <t>Hc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</si>
</sst>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3">
    <border>
      <left/>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0" borderId="2" xfId="0" applyFont="1" applyBorder="1"/>
    <xf numFmtId="0" fontId="5" fillId="0" borderId="2" xfId="0" applyFont="1" applyBorder="1" applyAlignment="1">
      <alignment horizontal="left"/>
    </xf>
    <xf numFmtId="0" fontId="5" fillId="0" borderId="2" xfId="0" applyFont="1" applyBorder="1"/>
    <xf numFmtId="164" fontId="5" fillId="0" borderId="2" xfId="0" applyNumberFormat="1" applyFont="1" applyBorder="1" applyAlignment="1">
      <alignment horizontal="right" vertical="center"/>
    </xf>
    <xf numFmtId="164" fontId="5" fillId="0" borderId="2" xfId="0" applyNumberFormat="1" applyFont="1" applyBorder="1" applyAlignment="1">
      <alignment horizontal="left" vertical="center"/>
    </xf>
    <xf numFmtId="165" fontId="5" fillId="0" borderId="2" xfId="0" applyNumberFormat="1" applyFont="1" applyBorder="1" applyAlignment="1">
      <alignment horizontal="left"/>
    </xf>
    <xf numFmtId="0" fontId="5" fillId="3" borderId="2" xfId="0" applyFont="1" applyFill="1" applyBorder="1"/>
    <xf numFmtId="0" fontId="0" fillId="0" borderId="0" xfId="0" pivotButton="1"/>
    <xf numFmtId="0" fontId="0" fillId="0" borderId="0" xfId="0" applyAlignment="1">
      <alignment horizontal="left"/>
    </xf>
    <xf numFmtId="0" fontId="2" fillId="0" borderId="0" xfId="0" applyFont="1"/>
    <xf numFmtId="0" fontId="2" fillId="4" borderId="0" xfId="0" applyFont="1" applyFill="1"/>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Pivot!$F$15</c:f>
              <c:strCache>
                <c:ptCount val="1"/>
                <c:pt idx="0">
                  <c:v>Attrition</c:v>
                </c:pt>
              </c:strCache>
            </c:strRef>
          </c:tx>
          <c:spPr>
            <a:solidFill>
              <a:srgbClr val="FF000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Pivot!$E$16:$E$21</c:f>
              <c:numCache>
                <c:formatCode>General</c:formatCode>
                <c:ptCount val="6"/>
                <c:pt idx="0">
                  <c:v>2020</c:v>
                </c:pt>
                <c:pt idx="1">
                  <c:v>2021</c:v>
                </c:pt>
                <c:pt idx="2">
                  <c:v>2022</c:v>
                </c:pt>
                <c:pt idx="3">
                  <c:v>2023</c:v>
                </c:pt>
                <c:pt idx="4">
                  <c:v>2024</c:v>
                </c:pt>
                <c:pt idx="5">
                  <c:v>2025</c:v>
                </c:pt>
              </c:numCache>
            </c:numRef>
          </c:cat>
          <c:val>
            <c:numRef>
              <c:f>Pivot!$F$16:$F$21</c:f>
              <c:numCache>
                <c:formatCode>General</c:formatCode>
                <c:ptCount val="6"/>
                <c:pt idx="0">
                  <c:v>20</c:v>
                </c:pt>
                <c:pt idx="1">
                  <c:v>12</c:v>
                </c:pt>
                <c:pt idx="2">
                  <c:v>10</c:v>
                </c:pt>
                <c:pt idx="3">
                  <c:v>4</c:v>
                </c:pt>
                <c:pt idx="4">
                  <c:v>0</c:v>
                </c:pt>
                <c:pt idx="5">
                  <c:v>1</c:v>
                </c:pt>
              </c:numCache>
            </c:numRef>
          </c:val>
          <c:extLst>
            <c:ext xmlns:c16="http://schemas.microsoft.com/office/drawing/2014/chart" uri="{C3380CC4-5D6E-409C-BE32-E72D297353CC}">
              <c16:uniqueId val="{00000000-7A63-4A88-915A-7D167A34BED5}"/>
            </c:ext>
          </c:extLst>
        </c:ser>
        <c:ser>
          <c:idx val="2"/>
          <c:order val="2"/>
          <c:tx>
            <c:strRef>
              <c:f>Pivot!$G$15</c:f>
              <c:strCache>
                <c:ptCount val="1"/>
                <c:pt idx="0">
                  <c:v>On-Board</c:v>
                </c:pt>
              </c:strCache>
            </c:strRef>
          </c:tx>
          <c:spPr>
            <a:solidFill>
              <a:srgbClr val="92D05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Pivot!$E$16:$E$21</c:f>
              <c:numCache>
                <c:formatCode>General</c:formatCode>
                <c:ptCount val="6"/>
                <c:pt idx="0">
                  <c:v>2020</c:v>
                </c:pt>
                <c:pt idx="1">
                  <c:v>2021</c:v>
                </c:pt>
                <c:pt idx="2">
                  <c:v>2022</c:v>
                </c:pt>
                <c:pt idx="3">
                  <c:v>2023</c:v>
                </c:pt>
                <c:pt idx="4">
                  <c:v>2024</c:v>
                </c:pt>
                <c:pt idx="5">
                  <c:v>2025</c:v>
                </c:pt>
              </c:numCache>
            </c:numRef>
          </c:cat>
          <c:val>
            <c:numRef>
              <c:f>Pivot!$G$16:$G$21</c:f>
              <c:numCache>
                <c:formatCode>General</c:formatCode>
                <c:ptCount val="6"/>
                <c:pt idx="0">
                  <c:v>23</c:v>
                </c:pt>
                <c:pt idx="1">
                  <c:v>12</c:v>
                </c:pt>
                <c:pt idx="2">
                  <c:v>19</c:v>
                </c:pt>
                <c:pt idx="3">
                  <c:v>30</c:v>
                </c:pt>
                <c:pt idx="4">
                  <c:v>25</c:v>
                </c:pt>
                <c:pt idx="5">
                  <c:v>9</c:v>
                </c:pt>
              </c:numCache>
            </c:numRef>
          </c:val>
          <c:extLst>
            <c:ext xmlns:c16="http://schemas.microsoft.com/office/drawing/2014/chart" uri="{C3380CC4-5D6E-409C-BE32-E72D297353CC}">
              <c16:uniqueId val="{00000001-7A63-4A88-915A-7D167A34BED5}"/>
            </c:ext>
          </c:extLst>
        </c:ser>
        <c:ser>
          <c:idx val="3"/>
          <c:order val="3"/>
          <c:tx>
            <c:strRef>
              <c:f>Pivot!$H$15</c:f>
              <c:strCache>
                <c:ptCount val="1"/>
                <c:pt idx="0">
                  <c:v>Transfer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Pivot!$E$16:$E$21</c:f>
              <c:numCache>
                <c:formatCode>General</c:formatCode>
                <c:ptCount val="6"/>
                <c:pt idx="0">
                  <c:v>2020</c:v>
                </c:pt>
                <c:pt idx="1">
                  <c:v>2021</c:v>
                </c:pt>
                <c:pt idx="2">
                  <c:v>2022</c:v>
                </c:pt>
                <c:pt idx="3">
                  <c:v>2023</c:v>
                </c:pt>
                <c:pt idx="4">
                  <c:v>2024</c:v>
                </c:pt>
                <c:pt idx="5">
                  <c:v>2025</c:v>
                </c:pt>
              </c:numCache>
            </c:numRef>
          </c:cat>
          <c:val>
            <c:numRef>
              <c:f>Pivot!$H$16:$H$21</c:f>
              <c:numCache>
                <c:formatCode>General</c:formatCode>
                <c:ptCount val="6"/>
                <c:pt idx="0">
                  <c:v>0</c:v>
                </c:pt>
                <c:pt idx="1">
                  <c:v>1</c:v>
                </c:pt>
                <c:pt idx="2">
                  <c:v>4</c:v>
                </c:pt>
                <c:pt idx="3">
                  <c:v>1</c:v>
                </c:pt>
                <c:pt idx="4">
                  <c:v>0</c:v>
                </c:pt>
                <c:pt idx="5">
                  <c:v>0</c:v>
                </c:pt>
              </c:numCache>
            </c:numRef>
          </c:val>
          <c:extLst>
            <c:ext xmlns:c16="http://schemas.microsoft.com/office/drawing/2014/chart" uri="{C3380CC4-5D6E-409C-BE32-E72D297353CC}">
              <c16:uniqueId val="{00000002-7A63-4A88-915A-7D167A34BED5}"/>
            </c:ext>
          </c:extLst>
        </c:ser>
        <c:dLbls>
          <c:showLegendKey val="0"/>
          <c:showVal val="1"/>
          <c:showCatName val="0"/>
          <c:showSerName val="0"/>
          <c:showPercent val="0"/>
          <c:showBubbleSize val="0"/>
        </c:dLbls>
        <c:gapWidth val="65"/>
        <c:overlap val="100"/>
        <c:axId val="711585984"/>
        <c:axId val="720665472"/>
        <c:extLst>
          <c:ext xmlns:c15="http://schemas.microsoft.com/office/drawing/2012/chart" uri="{02D57815-91ED-43cb-92C2-25804820EDAC}">
            <c15:filteredBarSeries>
              <c15:ser>
                <c:idx val="0"/>
                <c:order val="0"/>
                <c:tx>
                  <c:strRef>
                    <c:extLst>
                      <c:ext uri="{02D57815-91ED-43cb-92C2-25804820EDAC}">
                        <c15:formulaRef>
                          <c15:sqref>Pivot!$E$15</c15:sqref>
                        </c15:formulaRef>
                      </c:ext>
                    </c:extLst>
                    <c:strCache>
                      <c:ptCount val="1"/>
                      <c:pt idx="0">
                        <c:v>Year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Pivot!$E$16:$E$21</c15:sqref>
                        </c15:formulaRef>
                      </c:ext>
                    </c:extLst>
                    <c:numCache>
                      <c:formatCode>General</c:formatCode>
                      <c:ptCount val="6"/>
                      <c:pt idx="0">
                        <c:v>2020</c:v>
                      </c:pt>
                      <c:pt idx="1">
                        <c:v>2021</c:v>
                      </c:pt>
                      <c:pt idx="2">
                        <c:v>2022</c:v>
                      </c:pt>
                      <c:pt idx="3">
                        <c:v>2023</c:v>
                      </c:pt>
                      <c:pt idx="4">
                        <c:v>2024</c:v>
                      </c:pt>
                      <c:pt idx="5">
                        <c:v>2025</c:v>
                      </c:pt>
                    </c:numCache>
                  </c:numRef>
                </c:cat>
                <c:val>
                  <c:numRef>
                    <c:extLst>
                      <c:ext uri="{02D57815-91ED-43cb-92C2-25804820EDAC}">
                        <c15:formulaRef>
                          <c15:sqref>Pivot!$E$16:$E$21</c15:sqref>
                        </c15:formulaRef>
                      </c:ext>
                    </c:extLst>
                    <c:numCache>
                      <c:formatCode>General</c:formatCode>
                      <c:ptCount val="6"/>
                      <c:pt idx="0">
                        <c:v>2020</c:v>
                      </c:pt>
                      <c:pt idx="1">
                        <c:v>2021</c:v>
                      </c:pt>
                      <c:pt idx="2">
                        <c:v>2022</c:v>
                      </c:pt>
                      <c:pt idx="3">
                        <c:v>2023</c:v>
                      </c:pt>
                      <c:pt idx="4">
                        <c:v>2024</c:v>
                      </c:pt>
                      <c:pt idx="5">
                        <c:v>2025</c:v>
                      </c:pt>
                    </c:numCache>
                  </c:numRef>
                </c:val>
                <c:extLst>
                  <c:ext xmlns:c16="http://schemas.microsoft.com/office/drawing/2014/chart" uri="{C3380CC4-5D6E-409C-BE32-E72D297353CC}">
                    <c16:uniqueId val="{00000004-7A63-4A88-915A-7D167A34BED5}"/>
                  </c:ext>
                </c:extLst>
              </c15:ser>
            </c15:filteredBarSeries>
          </c:ext>
        </c:extLst>
      </c:barChart>
      <c:lineChart>
        <c:grouping val="standard"/>
        <c:varyColors val="0"/>
        <c:ser>
          <c:idx val="4"/>
          <c:order val="4"/>
          <c:tx>
            <c:strRef>
              <c:f>Pivot!$I$15</c:f>
              <c:strCache>
                <c:ptCount val="1"/>
                <c:pt idx="0">
                  <c:v>Grand Total</c:v>
                </c:pt>
              </c:strCache>
            </c:strRef>
          </c:tx>
          <c:spPr>
            <a:ln w="28575" cap="rnd">
              <a:solidFill>
                <a:schemeClr val="accent5"/>
              </a:solidFill>
              <a:round/>
            </a:ln>
            <a:effectLst/>
          </c:spPr>
          <c:marker>
            <c:symbol val="none"/>
          </c:marker>
          <c:dLbls>
            <c:spPr>
              <a:solidFill>
                <a:srgbClr val="00B0F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Pivot!$I$16:$I$21</c:f>
              <c:numCache>
                <c:formatCode>General</c:formatCode>
                <c:ptCount val="6"/>
                <c:pt idx="0">
                  <c:v>23</c:v>
                </c:pt>
                <c:pt idx="1">
                  <c:v>35</c:v>
                </c:pt>
                <c:pt idx="2">
                  <c:v>54</c:v>
                </c:pt>
                <c:pt idx="3">
                  <c:v>84</c:v>
                </c:pt>
                <c:pt idx="4">
                  <c:v>109</c:v>
                </c:pt>
                <c:pt idx="5">
                  <c:v>118</c:v>
                </c:pt>
              </c:numCache>
            </c:numRef>
          </c:val>
          <c:smooth val="0"/>
          <c:extLst>
            <c:ext xmlns:c16="http://schemas.microsoft.com/office/drawing/2014/chart" uri="{C3380CC4-5D6E-409C-BE32-E72D297353CC}">
              <c16:uniqueId val="{00000003-7A63-4A88-915A-7D167A34BED5}"/>
            </c:ext>
          </c:extLst>
        </c:ser>
        <c:dLbls>
          <c:showLegendKey val="0"/>
          <c:showVal val="1"/>
          <c:showCatName val="0"/>
          <c:showSerName val="0"/>
          <c:showPercent val="0"/>
          <c:showBubbleSize val="0"/>
        </c:dLbls>
        <c:marker val="1"/>
        <c:smooth val="0"/>
        <c:axId val="711630064"/>
        <c:axId val="720672672"/>
      </c:lineChart>
      <c:catAx>
        <c:axId val="71158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65472"/>
        <c:crosses val="autoZero"/>
        <c:auto val="1"/>
        <c:lblAlgn val="ctr"/>
        <c:lblOffset val="100"/>
        <c:noMultiLvlLbl val="0"/>
      </c:catAx>
      <c:valAx>
        <c:axId val="720665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85984"/>
        <c:crosses val="autoZero"/>
        <c:crossBetween val="between"/>
      </c:valAx>
      <c:valAx>
        <c:axId val="7206726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30064"/>
        <c:crosses val="max"/>
        <c:crossBetween val="between"/>
      </c:valAx>
      <c:catAx>
        <c:axId val="711630064"/>
        <c:scaling>
          <c:orientation val="minMax"/>
        </c:scaling>
        <c:delete val="1"/>
        <c:axPos val="b"/>
        <c:majorTickMark val="out"/>
        <c:minorTickMark val="none"/>
        <c:tickLblPos val="nextTo"/>
        <c:crossAx val="7206726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Pivot!$L$15</c:f>
              <c:strCache>
                <c:ptCount val="1"/>
                <c:pt idx="0">
                  <c:v>HC</c:v>
                </c:pt>
              </c:strCache>
            </c:strRef>
          </c:tx>
          <c:spPr>
            <a:effectLst>
              <a:outerShdw blurRad="50800" dist="38100" dir="2700000" algn="tl" rotWithShape="0">
                <a:prstClr val="black">
                  <a:alpha val="40000"/>
                </a:prstClr>
              </a:outerShdw>
            </a:effectLst>
          </c:spPr>
          <c:dPt>
            <c:idx val="0"/>
            <c:bubble3D val="0"/>
            <c:spPr>
              <a:solidFill>
                <a:srgbClr val="FF000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DA9-4726-8D29-CADD0F6B674D}"/>
              </c:ext>
            </c:extLst>
          </c:dPt>
          <c:dPt>
            <c:idx val="1"/>
            <c:bubble3D val="0"/>
            <c:spPr>
              <a:solidFill>
                <a:srgbClr val="00B0F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DA9-4726-8D29-CADD0F6B674D}"/>
              </c:ext>
            </c:extLst>
          </c:dPt>
          <c:dLbls>
            <c:dLbl>
              <c:idx val="0"/>
              <c:layout>
                <c:manualLayout>
                  <c:x val="3.0555622434743159E-2"/>
                  <c:y val="-0.206577850754437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DA9-4726-8D29-CADD0F6B674D}"/>
                </c:ext>
              </c:extLst>
            </c:dLbl>
            <c:dLbl>
              <c:idx val="1"/>
              <c:layout>
                <c:manualLayout>
                  <c:x val="-4.1666666666666664E-2"/>
                  <c:y val="0.310185185185185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A9-4726-8D29-CADD0F6B67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Pivot!$K$16:$K$17</c:f>
              <c:strCache>
                <c:ptCount val="2"/>
                <c:pt idx="0">
                  <c:v>Female</c:v>
                </c:pt>
                <c:pt idx="1">
                  <c:v>Male</c:v>
                </c:pt>
              </c:strCache>
            </c:strRef>
          </c:cat>
          <c:val>
            <c:numRef>
              <c:f>Pivot!$L$16:$L$17</c:f>
              <c:numCache>
                <c:formatCode>General</c:formatCode>
                <c:ptCount val="2"/>
                <c:pt idx="0">
                  <c:v>45</c:v>
                </c:pt>
                <c:pt idx="1">
                  <c:v>73</c:v>
                </c:pt>
              </c:numCache>
            </c:numRef>
          </c:val>
          <c:extLst>
            <c:ext xmlns:c16="http://schemas.microsoft.com/office/drawing/2014/chart" uri="{C3380CC4-5D6E-409C-BE32-E72D297353CC}">
              <c16:uniqueId val="{00000004-7DA9-4726-8D29-CADD0F6B674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596480564586109E-2"/>
          <c:y val="6.6365039068438172E-2"/>
          <c:w val="0.92280703887082782"/>
          <c:h val="0.91640047809431147"/>
        </c:manualLayout>
      </c:layout>
      <c:bar3DChart>
        <c:barDir val="col"/>
        <c:grouping val="stacked"/>
        <c:varyColors val="0"/>
        <c:ser>
          <c:idx val="0"/>
          <c:order val="0"/>
          <c:tx>
            <c:strRef>
              <c:f>Pivot!$O$16</c:f>
              <c:strCache>
                <c:ptCount val="1"/>
                <c:pt idx="0">
                  <c:v>Contract</c:v>
                </c:pt>
              </c:strCache>
            </c:strRef>
          </c:tx>
          <c:spPr>
            <a:solidFill>
              <a:srgbClr val="FFC000"/>
            </a:solidFill>
            <a:ln>
              <a:noFill/>
            </a:ln>
            <a:effectLst/>
            <a:sp3d/>
          </c:spPr>
          <c:invertIfNegative val="0"/>
          <c:dLbls>
            <c:dLbl>
              <c:idx val="0"/>
              <c:layout>
                <c:manualLayout>
                  <c:x val="-0.28055555555555556"/>
                  <c:y val="-5.092592592592592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1602-487A-8B1C-4AE4389F8B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Pivot!$P$15:$Q$15</c15:sqref>
                  </c15:fullRef>
                </c:ext>
              </c:extLst>
              <c:f>Pivot!$Q$15</c:f>
              <c:strCache>
                <c:ptCount val="1"/>
                <c:pt idx="0">
                  <c:v>HC %</c:v>
                </c:pt>
              </c:strCache>
            </c:strRef>
          </c:cat>
          <c:val>
            <c:numRef>
              <c:extLst>
                <c:ext xmlns:c15="http://schemas.microsoft.com/office/drawing/2012/chart" uri="{02D57815-91ED-43cb-92C2-25804820EDAC}">
                  <c15:fullRef>
                    <c15:sqref>Pivot!$P$16:$Q$16</c15:sqref>
                  </c15:fullRef>
                </c:ext>
              </c:extLst>
              <c:f>Pivot!$Q$16</c:f>
              <c:numCache>
                <c:formatCode>0%</c:formatCode>
                <c:ptCount val="1"/>
                <c:pt idx="0">
                  <c:v>0.11016949152542373</c:v>
                </c:pt>
              </c:numCache>
            </c:numRef>
          </c:val>
          <c:extLst>
            <c:ext xmlns:c16="http://schemas.microsoft.com/office/drawing/2014/chart" uri="{C3380CC4-5D6E-409C-BE32-E72D297353CC}">
              <c16:uniqueId val="{00000001-1602-487A-8B1C-4AE4389F8B38}"/>
            </c:ext>
          </c:extLst>
        </c:ser>
        <c:ser>
          <c:idx val="1"/>
          <c:order val="1"/>
          <c:tx>
            <c:strRef>
              <c:f>Pivot!$O$17</c:f>
              <c:strCache>
                <c:ptCount val="1"/>
                <c:pt idx="0">
                  <c:v>Management</c:v>
                </c:pt>
              </c:strCache>
            </c:strRef>
          </c:tx>
          <c:spPr>
            <a:solidFill>
              <a:srgbClr val="FF0000"/>
            </a:solidFill>
            <a:ln>
              <a:noFill/>
            </a:ln>
            <a:effectLst/>
            <a:sp3d/>
          </c:spPr>
          <c:invertIfNegative val="0"/>
          <c:dLbls>
            <c:dLbl>
              <c:idx val="0"/>
              <c:layout>
                <c:manualLayout>
                  <c:x val="-0.31666666666666671"/>
                  <c:y val="-7.407407407407415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1602-487A-8B1C-4AE4389F8B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Pivot!$P$15:$Q$15</c15:sqref>
                  </c15:fullRef>
                </c:ext>
              </c:extLst>
              <c:f>Pivot!$Q$15</c:f>
              <c:strCache>
                <c:ptCount val="1"/>
                <c:pt idx="0">
                  <c:v>HC %</c:v>
                </c:pt>
              </c:strCache>
            </c:strRef>
          </c:cat>
          <c:val>
            <c:numRef>
              <c:extLst>
                <c:ext xmlns:c15="http://schemas.microsoft.com/office/drawing/2012/chart" uri="{02D57815-91ED-43cb-92C2-25804820EDAC}">
                  <c15:fullRef>
                    <c15:sqref>Pivot!$P$17:$Q$17</c15:sqref>
                  </c15:fullRef>
                </c:ext>
              </c:extLst>
              <c:f>Pivot!$Q$17</c:f>
              <c:numCache>
                <c:formatCode>0%</c:formatCode>
                <c:ptCount val="1"/>
                <c:pt idx="0">
                  <c:v>0.17796610169491525</c:v>
                </c:pt>
              </c:numCache>
            </c:numRef>
          </c:val>
          <c:extLst>
            <c:ext xmlns:c16="http://schemas.microsoft.com/office/drawing/2014/chart" uri="{C3380CC4-5D6E-409C-BE32-E72D297353CC}">
              <c16:uniqueId val="{00000003-1602-487A-8B1C-4AE4389F8B38}"/>
            </c:ext>
          </c:extLst>
        </c:ser>
        <c:ser>
          <c:idx val="2"/>
          <c:order val="2"/>
          <c:tx>
            <c:strRef>
              <c:f>Pivot!$O$18</c:f>
              <c:strCache>
                <c:ptCount val="1"/>
                <c:pt idx="0">
                  <c:v>Professional</c:v>
                </c:pt>
              </c:strCache>
            </c:strRef>
          </c:tx>
          <c:spPr>
            <a:solidFill>
              <a:srgbClr val="00B0F0"/>
            </a:solidFill>
            <a:ln>
              <a:noFill/>
            </a:ln>
            <a:effectLst/>
            <a:sp3d/>
          </c:spPr>
          <c:invertIfNegative val="0"/>
          <c:dLbls>
            <c:dLbl>
              <c:idx val="0"/>
              <c:layout>
                <c:manualLayout>
                  <c:x val="-0.27777777777777779"/>
                  <c:y val="-2.3148148148148147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1602-487A-8B1C-4AE4389F8B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Pivot!$P$15:$Q$15</c15:sqref>
                  </c15:fullRef>
                </c:ext>
              </c:extLst>
              <c:f>Pivot!$Q$15</c:f>
              <c:strCache>
                <c:ptCount val="1"/>
                <c:pt idx="0">
                  <c:v>HC %</c:v>
                </c:pt>
              </c:strCache>
            </c:strRef>
          </c:cat>
          <c:val>
            <c:numRef>
              <c:extLst>
                <c:ext xmlns:c15="http://schemas.microsoft.com/office/drawing/2012/chart" uri="{02D57815-91ED-43cb-92C2-25804820EDAC}">
                  <c15:fullRef>
                    <c15:sqref>Pivot!$P$18:$Q$18</c15:sqref>
                  </c15:fullRef>
                </c:ext>
              </c:extLst>
              <c:f>Pivot!$Q$18</c:f>
              <c:numCache>
                <c:formatCode>0%</c:formatCode>
                <c:ptCount val="1"/>
                <c:pt idx="0">
                  <c:v>0.36440677966101692</c:v>
                </c:pt>
              </c:numCache>
            </c:numRef>
          </c:val>
          <c:extLst>
            <c:ext xmlns:c16="http://schemas.microsoft.com/office/drawing/2014/chart" uri="{C3380CC4-5D6E-409C-BE32-E72D297353CC}">
              <c16:uniqueId val="{00000005-1602-487A-8B1C-4AE4389F8B38}"/>
            </c:ext>
          </c:extLst>
        </c:ser>
        <c:ser>
          <c:idx val="3"/>
          <c:order val="3"/>
          <c:tx>
            <c:strRef>
              <c:f>Pivot!$O$19</c:f>
              <c:strCache>
                <c:ptCount val="1"/>
                <c:pt idx="0">
                  <c:v>Trainees</c:v>
                </c:pt>
              </c:strCache>
            </c:strRef>
          </c:tx>
          <c:spPr>
            <a:solidFill>
              <a:srgbClr val="92D050"/>
            </a:solidFill>
            <a:ln>
              <a:noFill/>
            </a:ln>
            <a:effectLst/>
            <a:sp3d/>
          </c:spPr>
          <c:invertIfNegative val="0"/>
          <c:dLbls>
            <c:dLbl>
              <c:idx val="0"/>
              <c:layout>
                <c:manualLayout>
                  <c:x val="-0.28055555555555556"/>
                  <c:y val="-1.851851851851856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1602-487A-8B1C-4AE4389F8B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Pivot!$P$15:$Q$15</c15:sqref>
                  </c15:fullRef>
                </c:ext>
              </c:extLst>
              <c:f>Pivot!$Q$15</c:f>
              <c:strCache>
                <c:ptCount val="1"/>
                <c:pt idx="0">
                  <c:v>HC %</c:v>
                </c:pt>
              </c:strCache>
            </c:strRef>
          </c:cat>
          <c:val>
            <c:numRef>
              <c:extLst>
                <c:ext xmlns:c15="http://schemas.microsoft.com/office/drawing/2012/chart" uri="{02D57815-91ED-43cb-92C2-25804820EDAC}">
                  <c15:fullRef>
                    <c15:sqref>Pivot!$P$19:$Q$19</c15:sqref>
                  </c15:fullRef>
                </c:ext>
              </c:extLst>
              <c:f>Pivot!$Q$19</c:f>
              <c:numCache>
                <c:formatCode>0%</c:formatCode>
                <c:ptCount val="1"/>
                <c:pt idx="0">
                  <c:v>0.34745762711864409</c:v>
                </c:pt>
              </c:numCache>
            </c:numRef>
          </c:val>
          <c:extLst>
            <c:ext xmlns:c16="http://schemas.microsoft.com/office/drawing/2014/chart" uri="{C3380CC4-5D6E-409C-BE32-E72D297353CC}">
              <c16:uniqueId val="{00000007-1602-487A-8B1C-4AE4389F8B38}"/>
            </c:ext>
          </c:extLst>
        </c:ser>
        <c:dLbls>
          <c:showLegendKey val="0"/>
          <c:showVal val="1"/>
          <c:showCatName val="0"/>
          <c:showSerName val="0"/>
          <c:showPercent val="0"/>
          <c:showBubbleSize val="0"/>
        </c:dLbls>
        <c:gapWidth val="150"/>
        <c:shape val="pyramid"/>
        <c:axId val="711641664"/>
        <c:axId val="720646752"/>
        <c:axId val="0"/>
      </c:bar3DChart>
      <c:catAx>
        <c:axId val="711641664"/>
        <c:scaling>
          <c:orientation val="minMax"/>
        </c:scaling>
        <c:delete val="1"/>
        <c:axPos val="b"/>
        <c:numFmt formatCode="General" sourceLinked="1"/>
        <c:majorTickMark val="none"/>
        <c:minorTickMark val="none"/>
        <c:tickLblPos val="nextTo"/>
        <c:crossAx val="720646752"/>
        <c:crosses val="autoZero"/>
        <c:auto val="1"/>
        <c:lblAlgn val="ctr"/>
        <c:lblOffset val="100"/>
        <c:noMultiLvlLbl val="0"/>
      </c:catAx>
      <c:valAx>
        <c:axId val="720646752"/>
        <c:scaling>
          <c:orientation val="minMax"/>
          <c:max val="1"/>
        </c:scaling>
        <c:delete val="1"/>
        <c:axPos val="l"/>
        <c:numFmt formatCode="General" sourceLinked="1"/>
        <c:majorTickMark val="none"/>
        <c:minorTickMark val="none"/>
        <c:tickLblPos val="nextTo"/>
        <c:crossAx val="7116416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Pivot!$T$15</c:f>
              <c:strCache>
                <c:ptCount val="1"/>
                <c:pt idx="0">
                  <c:v>HC</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0CF-416F-B3E1-E5A62693022A}"/>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0CF-416F-B3E1-E5A62693022A}"/>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0CF-416F-B3E1-E5A62693022A}"/>
              </c:ext>
            </c:extLst>
          </c:dPt>
          <c:dPt>
            <c:idx val="3"/>
            <c:bubble3D val="0"/>
            <c:spPr>
              <a:solidFill>
                <a:schemeClr val="accent4"/>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0CF-416F-B3E1-E5A62693022A}"/>
              </c:ext>
            </c:extLst>
          </c:dPt>
          <c:dPt>
            <c:idx val="4"/>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C0CF-416F-B3E1-E5A62693022A}"/>
              </c:ext>
            </c:extLst>
          </c:dPt>
          <c:dPt>
            <c:idx val="5"/>
            <c:bubble3D val="0"/>
            <c:spPr>
              <a:solidFill>
                <a:schemeClr val="accent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C0CF-416F-B3E1-E5A62693022A}"/>
              </c:ext>
            </c:extLst>
          </c:dPt>
          <c:dPt>
            <c:idx val="6"/>
            <c:bubble3D val="0"/>
            <c:spPr>
              <a:solidFill>
                <a:schemeClr val="accent5">
                  <a:lumMod val="40000"/>
                  <a:lumOff val="6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D-C0CF-416F-B3E1-E5A6269302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Pivot!$S$16:$S$22</c:f>
              <c:strCache>
                <c:ptCount val="7"/>
                <c:pt idx="0">
                  <c:v>Accounting</c:v>
                </c:pt>
                <c:pt idx="1">
                  <c:v>Finance</c:v>
                </c:pt>
                <c:pt idx="2">
                  <c:v>HR</c:v>
                </c:pt>
                <c:pt idx="3">
                  <c:v>Legal</c:v>
                </c:pt>
                <c:pt idx="4">
                  <c:v>Marketing</c:v>
                </c:pt>
                <c:pt idx="5">
                  <c:v>Operations</c:v>
                </c:pt>
                <c:pt idx="6">
                  <c:v>Sales</c:v>
                </c:pt>
              </c:strCache>
            </c:strRef>
          </c:cat>
          <c:val>
            <c:numRef>
              <c:f>Pivot!$T$16:$T$22</c:f>
              <c:numCache>
                <c:formatCode>General</c:formatCode>
                <c:ptCount val="7"/>
                <c:pt idx="0">
                  <c:v>9</c:v>
                </c:pt>
                <c:pt idx="1">
                  <c:v>10</c:v>
                </c:pt>
                <c:pt idx="2">
                  <c:v>25</c:v>
                </c:pt>
                <c:pt idx="3">
                  <c:v>11</c:v>
                </c:pt>
                <c:pt idx="4">
                  <c:v>15</c:v>
                </c:pt>
                <c:pt idx="5">
                  <c:v>27</c:v>
                </c:pt>
                <c:pt idx="6">
                  <c:v>21</c:v>
                </c:pt>
              </c:numCache>
            </c:numRef>
          </c:val>
          <c:extLst>
            <c:ext xmlns:c16="http://schemas.microsoft.com/office/drawing/2014/chart" uri="{C3380CC4-5D6E-409C-BE32-E72D297353CC}">
              <c16:uniqueId val="{0000000E-C0CF-416F-B3E1-E5A62693022A}"/>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Pivot!$AA$16</c:f>
              <c:strCache>
                <c:ptCount val="1"/>
                <c:pt idx="0">
                  <c:v>Contract</c:v>
                </c:pt>
              </c:strCache>
            </c:strRef>
          </c:tx>
          <c:spPr>
            <a:solidFill>
              <a:srgbClr val="FF000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Pivot!$AB$15:$AC$15</c15:sqref>
                  </c15:fullRef>
                </c:ext>
              </c:extLst>
              <c:f>Pivot!$AC$15</c:f>
              <c:strCache>
                <c:ptCount val="1"/>
                <c:pt idx="0">
                  <c:v>Hc %</c:v>
                </c:pt>
              </c:strCache>
            </c:strRef>
          </c:cat>
          <c:val>
            <c:numRef>
              <c:extLst>
                <c:ext xmlns:c15="http://schemas.microsoft.com/office/drawing/2012/chart" uri="{02D57815-91ED-43cb-92C2-25804820EDAC}">
                  <c15:fullRef>
                    <c15:sqref>Pivot!$AB$16:$AC$16</c15:sqref>
                  </c15:fullRef>
                </c:ext>
              </c:extLst>
              <c:f>Pivot!$AC$16</c:f>
              <c:numCache>
                <c:formatCode>0%</c:formatCode>
                <c:ptCount val="1"/>
                <c:pt idx="0">
                  <c:v>0.11016949152542373</c:v>
                </c:pt>
              </c:numCache>
            </c:numRef>
          </c:val>
          <c:extLst>
            <c:ext xmlns:c16="http://schemas.microsoft.com/office/drawing/2014/chart" uri="{C3380CC4-5D6E-409C-BE32-E72D297353CC}">
              <c16:uniqueId val="{00000000-2549-4173-BDA9-DBA14810D93D}"/>
            </c:ext>
          </c:extLst>
        </c:ser>
        <c:ser>
          <c:idx val="1"/>
          <c:order val="1"/>
          <c:tx>
            <c:strRef>
              <c:f>Pivot!$AA$17</c:f>
              <c:strCache>
                <c:ptCount val="1"/>
                <c:pt idx="0">
                  <c:v>Permanent</c:v>
                </c:pt>
              </c:strCache>
            </c:strRef>
          </c:tx>
          <c:spPr>
            <a:solidFill>
              <a:srgbClr val="00B0F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Pivot!$AB$15:$AC$15</c15:sqref>
                  </c15:fullRef>
                </c:ext>
              </c:extLst>
              <c:f>Pivot!$AC$15</c:f>
              <c:strCache>
                <c:ptCount val="1"/>
                <c:pt idx="0">
                  <c:v>Hc %</c:v>
                </c:pt>
              </c:strCache>
            </c:strRef>
          </c:cat>
          <c:val>
            <c:numRef>
              <c:extLst>
                <c:ext xmlns:c15="http://schemas.microsoft.com/office/drawing/2012/chart" uri="{02D57815-91ED-43cb-92C2-25804820EDAC}">
                  <c15:fullRef>
                    <c15:sqref>Pivot!$AB$17:$AC$17</c15:sqref>
                  </c15:fullRef>
                </c:ext>
              </c:extLst>
              <c:f>Pivot!$AC$17</c:f>
              <c:numCache>
                <c:formatCode>0%</c:formatCode>
                <c:ptCount val="1"/>
                <c:pt idx="0">
                  <c:v>0.88983050847457623</c:v>
                </c:pt>
              </c:numCache>
            </c:numRef>
          </c:val>
          <c:extLst>
            <c:ext xmlns:c16="http://schemas.microsoft.com/office/drawing/2014/chart" uri="{C3380CC4-5D6E-409C-BE32-E72D297353CC}">
              <c16:uniqueId val="{00000001-2549-4173-BDA9-DBA14810D93D}"/>
            </c:ext>
          </c:extLst>
        </c:ser>
        <c:dLbls>
          <c:dLblPos val="ctr"/>
          <c:showLegendKey val="0"/>
          <c:showVal val="1"/>
          <c:showCatName val="0"/>
          <c:showSerName val="0"/>
          <c:showPercent val="0"/>
          <c:showBubbleSize val="0"/>
        </c:dLbls>
        <c:gapWidth val="150"/>
        <c:overlap val="100"/>
        <c:axId val="844747872"/>
        <c:axId val="720659712"/>
      </c:barChart>
      <c:catAx>
        <c:axId val="844747872"/>
        <c:scaling>
          <c:orientation val="minMax"/>
        </c:scaling>
        <c:delete val="1"/>
        <c:axPos val="b"/>
        <c:numFmt formatCode="General" sourceLinked="1"/>
        <c:majorTickMark val="none"/>
        <c:minorTickMark val="none"/>
        <c:tickLblPos val="nextTo"/>
        <c:crossAx val="720659712"/>
        <c:crosses val="autoZero"/>
        <c:auto val="1"/>
        <c:lblAlgn val="ctr"/>
        <c:lblOffset val="100"/>
        <c:noMultiLvlLbl val="0"/>
      </c:catAx>
      <c:valAx>
        <c:axId val="720659712"/>
        <c:scaling>
          <c:orientation val="minMax"/>
          <c:max val="1"/>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7478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[1]Pivot!$AE$16</c:f>
              <c:strCache>
                <c:ptCount val="1"/>
                <c:pt idx="0">
                  <c:v>HC</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[1]Pivot!$AD$17:$AD$22</c:f>
              <c:strCache>
                <c:ptCount val="6"/>
                <c:pt idx="0">
                  <c:v>5+ years</c:v>
                </c:pt>
                <c:pt idx="1">
                  <c:v>4+ years</c:v>
                </c:pt>
                <c:pt idx="2">
                  <c:v>3+ years</c:v>
                </c:pt>
                <c:pt idx="3">
                  <c:v>2+ years</c:v>
                </c:pt>
                <c:pt idx="4">
                  <c:v>1+ years</c:v>
                </c:pt>
                <c:pt idx="5">
                  <c:v>&lt;1 year</c:v>
                </c:pt>
              </c:strCache>
            </c:strRef>
          </c:cat>
          <c:val>
            <c:numRef>
              <c:f>[1]Pivot!$AE$17:$AE$22</c:f>
              <c:numCache>
                <c:formatCode>General</c:formatCode>
                <c:ptCount val="6"/>
                <c:pt idx="0">
                  <c:v>22</c:v>
                </c:pt>
                <c:pt idx="1">
                  <c:v>13</c:v>
                </c:pt>
                <c:pt idx="2">
                  <c:v>19</c:v>
                </c:pt>
                <c:pt idx="3">
                  <c:v>20</c:v>
                </c:pt>
                <c:pt idx="4">
                  <c:v>35</c:v>
                </c:pt>
                <c:pt idx="5">
                  <c:v>9</c:v>
                </c:pt>
              </c:numCache>
            </c:numRef>
          </c:val>
          <c:extLst>
            <c:ext xmlns:c16="http://schemas.microsoft.com/office/drawing/2014/chart" uri="{C3380CC4-5D6E-409C-BE32-E72D297353CC}">
              <c16:uniqueId val="{00000000-4CCA-4034-AA3D-0811D32ECC05}"/>
            </c:ext>
          </c:extLst>
        </c:ser>
        <c:dLbls>
          <c:showLegendKey val="0"/>
          <c:showVal val="0"/>
          <c:showCatName val="0"/>
          <c:showSerName val="0"/>
          <c:showPercent val="0"/>
          <c:showBubbleSize val="0"/>
        </c:dLbls>
        <c:gapWidth val="65"/>
        <c:axId val="844378560"/>
        <c:axId val="843940864"/>
        <c:extLst>
          <c:ext xmlns:c15="http://schemas.microsoft.com/office/drawing/2012/chart" uri="{02D57815-91ED-43cb-92C2-25804820EDAC}">
            <c15:filteredBarSeries>
              <c15:ser>
                <c:idx val="1"/>
                <c:order val="1"/>
                <c:tx>
                  <c:strRef>
                    <c:extLst>
                      <c:ext uri="{02D57815-91ED-43cb-92C2-25804820EDAC}">
                        <c15:formulaRef>
                          <c15:sqref>[1]Pivot!$AF$16</c15:sqref>
                        </c15:formulaRef>
                      </c:ext>
                    </c:extLst>
                    <c:strCache>
                      <c:ptCount val="1"/>
                      <c:pt idx="0">
                        <c:v>HC%</c:v>
                      </c:pt>
                    </c:strCache>
                  </c:strRef>
                </c:tx>
                <c:spPr>
                  <a:solidFill>
                    <a:schemeClr val="accent2"/>
                  </a:solidFill>
                  <a:ln>
                    <a:noFill/>
                  </a:ln>
                  <a:effectLst/>
                </c:spPr>
                <c:invertIfNegative val="0"/>
                <c:cat>
                  <c:strRef>
                    <c:extLst>
                      <c:ext uri="{02D57815-91ED-43cb-92C2-25804820EDAC}">
                        <c15:formulaRef>
                          <c15:sqref>[1]Pivot!$AD$17:$AD$22</c15:sqref>
                        </c15:formulaRef>
                      </c:ext>
                    </c:extLst>
                    <c:strCache>
                      <c:ptCount val="6"/>
                      <c:pt idx="0">
                        <c:v>5+ years</c:v>
                      </c:pt>
                      <c:pt idx="1">
                        <c:v>4+ years</c:v>
                      </c:pt>
                      <c:pt idx="2">
                        <c:v>3+ years</c:v>
                      </c:pt>
                      <c:pt idx="3">
                        <c:v>2+ years</c:v>
                      </c:pt>
                      <c:pt idx="4">
                        <c:v>1+ years</c:v>
                      </c:pt>
                      <c:pt idx="5">
                        <c:v>&lt;1 year</c:v>
                      </c:pt>
                    </c:strCache>
                  </c:strRef>
                </c:cat>
                <c:val>
                  <c:numRef>
                    <c:extLst>
                      <c:ext uri="{02D57815-91ED-43cb-92C2-25804820EDAC}">
                        <c15:formulaRef>
                          <c15:sqref>[1]Pivot!$AF$17:$AF$22</c15:sqref>
                        </c15:formulaRef>
                      </c:ext>
                    </c:extLst>
                    <c:numCache>
                      <c:formatCode>General</c:formatCode>
                      <c:ptCount val="6"/>
                      <c:pt idx="0">
                        <c:v>0.1864406779661017</c:v>
                      </c:pt>
                      <c:pt idx="1">
                        <c:v>0.11016949152542373</c:v>
                      </c:pt>
                      <c:pt idx="2">
                        <c:v>0.16101694915254236</c:v>
                      </c:pt>
                      <c:pt idx="3">
                        <c:v>0.16949152542372881</c:v>
                      </c:pt>
                      <c:pt idx="4">
                        <c:v>0.29661016949152541</c:v>
                      </c:pt>
                      <c:pt idx="5">
                        <c:v>7.6271186440677971E-2</c:v>
                      </c:pt>
                    </c:numCache>
                  </c:numRef>
                </c:val>
                <c:extLst>
                  <c:ext xmlns:c16="http://schemas.microsoft.com/office/drawing/2014/chart" uri="{C3380CC4-5D6E-409C-BE32-E72D297353CC}">
                    <c16:uniqueId val="{00000001-4CCA-4034-AA3D-0811D32ECC05}"/>
                  </c:ext>
                </c:extLst>
              </c15:ser>
            </c15:filteredBarSeries>
          </c:ext>
        </c:extLst>
      </c:barChart>
      <c:catAx>
        <c:axId val="84437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940864"/>
        <c:crosses val="autoZero"/>
        <c:auto val="1"/>
        <c:lblAlgn val="ctr"/>
        <c:lblOffset val="100"/>
        <c:noMultiLvlLbl val="0"/>
      </c:catAx>
      <c:valAx>
        <c:axId val="843940864"/>
        <c:scaling>
          <c:orientation val="minMax"/>
        </c:scaling>
        <c:delete val="1"/>
        <c:axPos val="b"/>
        <c:numFmt formatCode="General" sourceLinked="1"/>
        <c:majorTickMark val="none"/>
        <c:minorTickMark val="none"/>
        <c:tickLblPos val="nextTo"/>
        <c:crossAx val="8443785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data id="1">
      <cx:strDim type="cat">
        <cx:f>_xlchart.v2.0</cx:f>
      </cx:strDim>
      <cx:numDim type="val">
        <cx:f>_xlchart.v2.4</cx:f>
      </cx:numDim>
    </cx:data>
  </cx:chartData>
  <cx:chart>
    <cx:plotArea>
      <cx:plotAreaRegion>
        <cx:series layoutId="funnel" uniqueId="{00000000-C7BF-47A1-9710-852E12512CBA}" formatIdx="0">
          <cx:tx>
            <cx:txData>
              <cx:f>_xlchart.v2.1</cx:f>
              <cx:v>HC</cx:v>
            </cx:txData>
          </cx:tx>
          <cx:spPr>
            <a:solidFill>
              <a:srgbClr val="92D050"/>
            </a:solidFill>
            <a:effectLst>
              <a:outerShdw blurRad="50800" dist="38100" dir="2700000" algn="tl" rotWithShape="0">
                <a:prstClr val="black">
                  <a:alpha val="40000"/>
                </a:prstClr>
              </a:outerShdw>
            </a:effectLst>
          </cx:spPr>
          <cx:dataLabels>
            <cx:visibility seriesName="0" categoryName="0" value="1"/>
          </cx:dataLabels>
          <cx:dataId val="0"/>
        </cx:series>
        <cx:series layoutId="funnel" hidden="1" uniqueId="{00000001-C7BF-47A1-9710-852E12512CBA}" formatIdx="1">
          <cx:tx>
            <cx:txData>
              <cx:f>_xlchart.v2.3</cx:f>
              <cx:v>HC %</cx:v>
            </cx:txData>
          </cx:tx>
          <cx:dataLabels>
            <cx:visibility seriesName="0" categoryName="0" value="1"/>
          </cx:dataLabels>
          <cx:dataId val="1"/>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chart" Target="../charts/chart4.xml"/><Relationship Id="rId3" Type="http://schemas.openxmlformats.org/officeDocument/2006/relationships/chart" Target="../charts/chart1.xml"/><Relationship Id="rId21" Type="http://schemas.openxmlformats.org/officeDocument/2006/relationships/image" Target="../media/image15.png"/><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image" Target="../media/image14.svg"/><Relationship Id="rId25"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13.png"/><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image" Target="../media/image18.svg"/><Relationship Id="rId5" Type="http://schemas.openxmlformats.org/officeDocument/2006/relationships/chart" Target="../charts/chart3.xml"/><Relationship Id="rId15" Type="http://schemas.openxmlformats.org/officeDocument/2006/relationships/image" Target="../media/image12.svg"/><Relationship Id="rId23" Type="http://schemas.openxmlformats.org/officeDocument/2006/relationships/image" Target="../media/image17.png"/><Relationship Id="rId10" Type="http://schemas.openxmlformats.org/officeDocument/2006/relationships/image" Target="../media/image7.png"/><Relationship Id="rId19" Type="http://schemas.microsoft.com/office/2014/relationships/chartEx" Target="../charts/chartEx1.xml"/><Relationship Id="rId4" Type="http://schemas.openxmlformats.org/officeDocument/2006/relationships/chart" Target="../charts/chart2.xml"/><Relationship Id="rId9" Type="http://schemas.openxmlformats.org/officeDocument/2006/relationships/image" Target="../media/image6.svg"/><Relationship Id="rId14" Type="http://schemas.openxmlformats.org/officeDocument/2006/relationships/image" Target="../media/image11.pn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47625</xdr:rowOff>
    </xdr:from>
    <xdr:to>
      <xdr:col>2</xdr:col>
      <xdr:colOff>66824</xdr:colOff>
      <xdr:row>3</xdr:row>
      <xdr:rowOff>188925</xdr:rowOff>
    </xdr:to>
    <xdr:sp macro="" textlink="">
      <xdr:nvSpPr>
        <xdr:cNvPr id="2" name="Rectangle 1">
          <a:extLst>
            <a:ext uri="{FF2B5EF4-FFF2-40B4-BE49-F238E27FC236}">
              <a16:creationId xmlns:a16="http://schemas.microsoft.com/office/drawing/2014/main" id="{7C6D87D1-6643-C73A-1B1A-653CD676CD4D}"/>
            </a:ext>
          </a:extLst>
        </xdr:cNvPr>
        <xdr:cNvSpPr/>
      </xdr:nvSpPr>
      <xdr:spPr>
        <a:xfrm>
          <a:off x="47624" y="47625"/>
          <a:ext cx="1238400" cy="71280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47624</xdr:colOff>
      <xdr:row>4</xdr:row>
      <xdr:rowOff>57150</xdr:rowOff>
    </xdr:from>
    <xdr:to>
      <xdr:col>2</xdr:col>
      <xdr:colOff>66824</xdr:colOff>
      <xdr:row>31</xdr:row>
      <xdr:rowOff>169650</xdr:rowOff>
    </xdr:to>
    <xdr:sp macro="" textlink="">
      <xdr:nvSpPr>
        <xdr:cNvPr id="3" name="Rectangle 2">
          <a:extLst>
            <a:ext uri="{FF2B5EF4-FFF2-40B4-BE49-F238E27FC236}">
              <a16:creationId xmlns:a16="http://schemas.microsoft.com/office/drawing/2014/main" id="{85CD370B-CECB-7855-F727-0B44E348F865}"/>
            </a:ext>
          </a:extLst>
        </xdr:cNvPr>
        <xdr:cNvSpPr/>
      </xdr:nvSpPr>
      <xdr:spPr>
        <a:xfrm>
          <a:off x="47624" y="819150"/>
          <a:ext cx="1238400" cy="525600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123824</xdr:colOff>
      <xdr:row>0</xdr:row>
      <xdr:rowOff>47625</xdr:rowOff>
    </xdr:from>
    <xdr:to>
      <xdr:col>19</xdr:col>
      <xdr:colOff>477824</xdr:colOff>
      <xdr:row>3</xdr:row>
      <xdr:rowOff>188925</xdr:rowOff>
    </xdr:to>
    <xdr:sp macro="" textlink="">
      <xdr:nvSpPr>
        <xdr:cNvPr id="4" name="Rectangle 3">
          <a:extLst>
            <a:ext uri="{FF2B5EF4-FFF2-40B4-BE49-F238E27FC236}">
              <a16:creationId xmlns:a16="http://schemas.microsoft.com/office/drawing/2014/main" id="{EAF7C8E2-6EE6-7EE1-89D9-EA2CCF31919D}"/>
            </a:ext>
          </a:extLst>
        </xdr:cNvPr>
        <xdr:cNvSpPr/>
      </xdr:nvSpPr>
      <xdr:spPr>
        <a:xfrm>
          <a:off x="1343024" y="47625"/>
          <a:ext cx="10717200" cy="71280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133349</xdr:colOff>
      <xdr:row>4</xdr:row>
      <xdr:rowOff>47625</xdr:rowOff>
    </xdr:from>
    <xdr:to>
      <xdr:col>5</xdr:col>
      <xdr:colOff>388949</xdr:colOff>
      <xdr:row>8</xdr:row>
      <xdr:rowOff>70425</xdr:rowOff>
    </xdr:to>
    <xdr:sp macro="" textlink="">
      <xdr:nvSpPr>
        <xdr:cNvPr id="5" name="Rectangle 4">
          <a:extLst>
            <a:ext uri="{FF2B5EF4-FFF2-40B4-BE49-F238E27FC236}">
              <a16:creationId xmlns:a16="http://schemas.microsoft.com/office/drawing/2014/main" id="{BCFB13F4-9F36-A007-5913-1F6C937E9C1A}"/>
            </a:ext>
          </a:extLst>
        </xdr:cNvPr>
        <xdr:cNvSpPr/>
      </xdr:nvSpPr>
      <xdr:spPr>
        <a:xfrm>
          <a:off x="1352549" y="809625"/>
          <a:ext cx="2084400" cy="7848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457199</xdr:colOff>
      <xdr:row>4</xdr:row>
      <xdr:rowOff>47625</xdr:rowOff>
    </xdr:from>
    <xdr:to>
      <xdr:col>9</xdr:col>
      <xdr:colOff>103199</xdr:colOff>
      <xdr:row>8</xdr:row>
      <xdr:rowOff>70425</xdr:rowOff>
    </xdr:to>
    <xdr:sp macro="" textlink="">
      <xdr:nvSpPr>
        <xdr:cNvPr id="6" name="Rectangle 5">
          <a:extLst>
            <a:ext uri="{FF2B5EF4-FFF2-40B4-BE49-F238E27FC236}">
              <a16:creationId xmlns:a16="http://schemas.microsoft.com/office/drawing/2014/main" id="{5E18197D-61C5-26C8-8AB4-F10B3D365AD7}"/>
            </a:ext>
          </a:extLst>
        </xdr:cNvPr>
        <xdr:cNvSpPr/>
      </xdr:nvSpPr>
      <xdr:spPr>
        <a:xfrm>
          <a:off x="3505199" y="809625"/>
          <a:ext cx="2084400" cy="7848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171449</xdr:colOff>
      <xdr:row>4</xdr:row>
      <xdr:rowOff>47625</xdr:rowOff>
    </xdr:from>
    <xdr:to>
      <xdr:col>12</xdr:col>
      <xdr:colOff>427049</xdr:colOff>
      <xdr:row>8</xdr:row>
      <xdr:rowOff>70425</xdr:rowOff>
    </xdr:to>
    <xdr:sp macro="" textlink="">
      <xdr:nvSpPr>
        <xdr:cNvPr id="7" name="Rectangle 6">
          <a:extLst>
            <a:ext uri="{FF2B5EF4-FFF2-40B4-BE49-F238E27FC236}">
              <a16:creationId xmlns:a16="http://schemas.microsoft.com/office/drawing/2014/main" id="{B5B8AAC3-6F7F-4CDB-8BC9-5D68BD4B71AF}"/>
            </a:ext>
          </a:extLst>
        </xdr:cNvPr>
        <xdr:cNvSpPr/>
      </xdr:nvSpPr>
      <xdr:spPr>
        <a:xfrm>
          <a:off x="5657849" y="809625"/>
          <a:ext cx="2084400" cy="7848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495299</xdr:colOff>
      <xdr:row>4</xdr:row>
      <xdr:rowOff>47625</xdr:rowOff>
    </xdr:from>
    <xdr:to>
      <xdr:col>16</xdr:col>
      <xdr:colOff>141299</xdr:colOff>
      <xdr:row>8</xdr:row>
      <xdr:rowOff>70425</xdr:rowOff>
    </xdr:to>
    <xdr:sp macro="" textlink="">
      <xdr:nvSpPr>
        <xdr:cNvPr id="8" name="Rectangle 7">
          <a:extLst>
            <a:ext uri="{FF2B5EF4-FFF2-40B4-BE49-F238E27FC236}">
              <a16:creationId xmlns:a16="http://schemas.microsoft.com/office/drawing/2014/main" id="{D8E0692C-FAE9-B7BE-18E7-59BF4357BF7E}"/>
            </a:ext>
          </a:extLst>
        </xdr:cNvPr>
        <xdr:cNvSpPr/>
      </xdr:nvSpPr>
      <xdr:spPr>
        <a:xfrm>
          <a:off x="7810499" y="809625"/>
          <a:ext cx="2084400" cy="7848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209549</xdr:colOff>
      <xdr:row>4</xdr:row>
      <xdr:rowOff>47625</xdr:rowOff>
    </xdr:from>
    <xdr:to>
      <xdr:col>19</xdr:col>
      <xdr:colOff>465149</xdr:colOff>
      <xdr:row>8</xdr:row>
      <xdr:rowOff>70425</xdr:rowOff>
    </xdr:to>
    <xdr:sp macro="" textlink="">
      <xdr:nvSpPr>
        <xdr:cNvPr id="9" name="Rectangle 8">
          <a:extLst>
            <a:ext uri="{FF2B5EF4-FFF2-40B4-BE49-F238E27FC236}">
              <a16:creationId xmlns:a16="http://schemas.microsoft.com/office/drawing/2014/main" id="{D35BD2C0-92B3-7ECB-A848-E36CD0048304}"/>
            </a:ext>
          </a:extLst>
        </xdr:cNvPr>
        <xdr:cNvSpPr/>
      </xdr:nvSpPr>
      <xdr:spPr>
        <a:xfrm>
          <a:off x="9963149" y="809625"/>
          <a:ext cx="2084400" cy="7848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133349</xdr:colOff>
      <xdr:row>8</xdr:row>
      <xdr:rowOff>133350</xdr:rowOff>
    </xdr:from>
    <xdr:to>
      <xdr:col>8</xdr:col>
      <xdr:colOff>313349</xdr:colOff>
      <xdr:row>20</xdr:row>
      <xdr:rowOff>25350</xdr:rowOff>
    </xdr:to>
    <xdr:sp macro="" textlink="">
      <xdr:nvSpPr>
        <xdr:cNvPr id="10" name="Rectangle 9">
          <a:extLst>
            <a:ext uri="{FF2B5EF4-FFF2-40B4-BE49-F238E27FC236}">
              <a16:creationId xmlns:a16="http://schemas.microsoft.com/office/drawing/2014/main" id="{4BDA80F1-F56A-D22A-F4AF-86AC9699CBCD}"/>
            </a:ext>
          </a:extLst>
        </xdr:cNvPr>
        <xdr:cNvSpPr/>
      </xdr:nvSpPr>
      <xdr:spPr>
        <a:xfrm>
          <a:off x="1352549" y="1657350"/>
          <a:ext cx="3837600" cy="2178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13</xdr:row>
      <xdr:rowOff>28575</xdr:rowOff>
    </xdr:from>
    <xdr:to>
      <xdr:col>0</xdr:col>
      <xdr:colOff>0</xdr:colOff>
      <xdr:row>24</xdr:row>
      <xdr:rowOff>111075</xdr:rowOff>
    </xdr:to>
    <xdr:sp macro="" textlink="">
      <xdr:nvSpPr>
        <xdr:cNvPr id="11" name="Rectangle 10">
          <a:extLst>
            <a:ext uri="{FF2B5EF4-FFF2-40B4-BE49-F238E27FC236}">
              <a16:creationId xmlns:a16="http://schemas.microsoft.com/office/drawing/2014/main" id="{CCB116D9-C5FC-39C4-458E-3887176599B6}"/>
            </a:ext>
          </a:extLst>
        </xdr:cNvPr>
        <xdr:cNvSpPr/>
      </xdr:nvSpPr>
      <xdr:spPr>
        <a:xfrm>
          <a:off x="0" y="2505075"/>
          <a:ext cx="0" cy="2178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375748</xdr:colOff>
      <xdr:row>8</xdr:row>
      <xdr:rowOff>133350</xdr:rowOff>
    </xdr:from>
    <xdr:to>
      <xdr:col>13</xdr:col>
      <xdr:colOff>137625</xdr:colOff>
      <xdr:row>20</xdr:row>
      <xdr:rowOff>25350</xdr:rowOff>
    </xdr:to>
    <xdr:sp macro="" textlink="">
      <xdr:nvSpPr>
        <xdr:cNvPr id="12" name="Rectangle 11">
          <a:extLst>
            <a:ext uri="{FF2B5EF4-FFF2-40B4-BE49-F238E27FC236}">
              <a16:creationId xmlns:a16="http://schemas.microsoft.com/office/drawing/2014/main" id="{EB3A6BC4-7BAD-9498-5312-2B6FB18B8A69}"/>
            </a:ext>
          </a:extLst>
        </xdr:cNvPr>
        <xdr:cNvSpPr/>
      </xdr:nvSpPr>
      <xdr:spPr>
        <a:xfrm>
          <a:off x="5252548" y="1657350"/>
          <a:ext cx="2809877" cy="2178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200024</xdr:colOff>
      <xdr:row>8</xdr:row>
      <xdr:rowOff>133350</xdr:rowOff>
    </xdr:from>
    <xdr:to>
      <xdr:col>19</xdr:col>
      <xdr:colOff>459224</xdr:colOff>
      <xdr:row>20</xdr:row>
      <xdr:rowOff>25350</xdr:rowOff>
    </xdr:to>
    <xdr:sp macro="" textlink="">
      <xdr:nvSpPr>
        <xdr:cNvPr id="13" name="Rectangle 12">
          <a:extLst>
            <a:ext uri="{FF2B5EF4-FFF2-40B4-BE49-F238E27FC236}">
              <a16:creationId xmlns:a16="http://schemas.microsoft.com/office/drawing/2014/main" id="{920FDD37-5880-8AC1-F9E1-C6EFFC24586D}"/>
            </a:ext>
          </a:extLst>
        </xdr:cNvPr>
        <xdr:cNvSpPr/>
      </xdr:nvSpPr>
      <xdr:spPr>
        <a:xfrm>
          <a:off x="8124824" y="1657350"/>
          <a:ext cx="3916800" cy="2178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142874</xdr:colOff>
      <xdr:row>20</xdr:row>
      <xdr:rowOff>95250</xdr:rowOff>
    </xdr:from>
    <xdr:to>
      <xdr:col>6</xdr:col>
      <xdr:colOff>444074</xdr:colOff>
      <xdr:row>31</xdr:row>
      <xdr:rowOff>177750</xdr:rowOff>
    </xdr:to>
    <xdr:sp macro="" textlink="">
      <xdr:nvSpPr>
        <xdr:cNvPr id="14" name="Rectangle 13">
          <a:extLst>
            <a:ext uri="{FF2B5EF4-FFF2-40B4-BE49-F238E27FC236}">
              <a16:creationId xmlns:a16="http://schemas.microsoft.com/office/drawing/2014/main" id="{CE6323C3-315B-EA56-7E8F-30B235B66B18}"/>
            </a:ext>
          </a:extLst>
        </xdr:cNvPr>
        <xdr:cNvSpPr/>
      </xdr:nvSpPr>
      <xdr:spPr>
        <a:xfrm>
          <a:off x="1362074" y="3905250"/>
          <a:ext cx="2739600" cy="2178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32</xdr:row>
      <xdr:rowOff>57150</xdr:rowOff>
    </xdr:from>
    <xdr:to>
      <xdr:col>0</xdr:col>
      <xdr:colOff>0</xdr:colOff>
      <xdr:row>43</xdr:row>
      <xdr:rowOff>139650</xdr:rowOff>
    </xdr:to>
    <xdr:sp macro="" textlink="">
      <xdr:nvSpPr>
        <xdr:cNvPr id="15" name="Rectangle 14">
          <a:extLst>
            <a:ext uri="{FF2B5EF4-FFF2-40B4-BE49-F238E27FC236}">
              <a16:creationId xmlns:a16="http://schemas.microsoft.com/office/drawing/2014/main" id="{7C547BE2-5877-3BC7-29D3-48F99449E473}"/>
            </a:ext>
          </a:extLst>
        </xdr:cNvPr>
        <xdr:cNvSpPr/>
      </xdr:nvSpPr>
      <xdr:spPr>
        <a:xfrm>
          <a:off x="0" y="6153150"/>
          <a:ext cx="0" cy="2178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552448</xdr:colOff>
      <xdr:row>20</xdr:row>
      <xdr:rowOff>85725</xdr:rowOff>
    </xdr:from>
    <xdr:to>
      <xdr:col>10</xdr:col>
      <xdr:colOff>571499</xdr:colOff>
      <xdr:row>31</xdr:row>
      <xdr:rowOff>168225</xdr:rowOff>
    </xdr:to>
    <xdr:sp macro="" textlink="">
      <xdr:nvSpPr>
        <xdr:cNvPr id="16" name="Rectangle 15">
          <a:extLst>
            <a:ext uri="{FF2B5EF4-FFF2-40B4-BE49-F238E27FC236}">
              <a16:creationId xmlns:a16="http://schemas.microsoft.com/office/drawing/2014/main" id="{53CD579A-016C-E6EB-B8C0-5723EC57D118}"/>
            </a:ext>
          </a:extLst>
        </xdr:cNvPr>
        <xdr:cNvSpPr/>
      </xdr:nvSpPr>
      <xdr:spPr>
        <a:xfrm>
          <a:off x="4210048" y="3895725"/>
          <a:ext cx="2457451" cy="2178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20</xdr:row>
      <xdr:rowOff>76200</xdr:rowOff>
    </xdr:from>
    <xdr:to>
      <xdr:col>15</xdr:col>
      <xdr:colOff>82124</xdr:colOff>
      <xdr:row>31</xdr:row>
      <xdr:rowOff>158700</xdr:rowOff>
    </xdr:to>
    <xdr:sp macro="" textlink="">
      <xdr:nvSpPr>
        <xdr:cNvPr id="17" name="Rectangle 16">
          <a:extLst>
            <a:ext uri="{FF2B5EF4-FFF2-40B4-BE49-F238E27FC236}">
              <a16:creationId xmlns:a16="http://schemas.microsoft.com/office/drawing/2014/main" id="{28821F16-BC1B-B27B-AD94-D29C9CC3AB9B}"/>
            </a:ext>
          </a:extLst>
        </xdr:cNvPr>
        <xdr:cNvSpPr/>
      </xdr:nvSpPr>
      <xdr:spPr>
        <a:xfrm>
          <a:off x="6705600" y="3886200"/>
          <a:ext cx="2520524" cy="2178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152399</xdr:colOff>
      <xdr:row>20</xdr:row>
      <xdr:rowOff>66675</xdr:rowOff>
    </xdr:from>
    <xdr:to>
      <xdr:col>19</xdr:col>
      <xdr:colOff>453599</xdr:colOff>
      <xdr:row>31</xdr:row>
      <xdr:rowOff>149175</xdr:rowOff>
    </xdr:to>
    <xdr:sp macro="" textlink="">
      <xdr:nvSpPr>
        <xdr:cNvPr id="18" name="Rectangle 17">
          <a:extLst>
            <a:ext uri="{FF2B5EF4-FFF2-40B4-BE49-F238E27FC236}">
              <a16:creationId xmlns:a16="http://schemas.microsoft.com/office/drawing/2014/main" id="{39429F74-9F38-851A-945A-CBCE3B2E13C8}"/>
            </a:ext>
          </a:extLst>
        </xdr:cNvPr>
        <xdr:cNvSpPr/>
      </xdr:nvSpPr>
      <xdr:spPr>
        <a:xfrm>
          <a:off x="9296399" y="3876675"/>
          <a:ext cx="2739600" cy="2178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47624</xdr:colOff>
      <xdr:row>0</xdr:row>
      <xdr:rowOff>47625</xdr:rowOff>
    </xdr:from>
    <xdr:to>
      <xdr:col>1</xdr:col>
      <xdr:colOff>118618</xdr:colOff>
      <xdr:row>3</xdr:row>
      <xdr:rowOff>145920</xdr:rowOff>
    </xdr:to>
    <xdr:pic>
      <xdr:nvPicPr>
        <xdr:cNvPr id="20" name="Graphic 19" descr="Presentation with bar chart with solid fill">
          <a:extLst>
            <a:ext uri="{FF2B5EF4-FFF2-40B4-BE49-F238E27FC236}">
              <a16:creationId xmlns:a16="http://schemas.microsoft.com/office/drawing/2014/main" id="{7F4E66BF-E1DF-4BF4-9673-8D37238C66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4" y="47625"/>
          <a:ext cx="680594" cy="669795"/>
        </a:xfrm>
        <a:prstGeom prst="rect">
          <a:avLst/>
        </a:prstGeom>
      </xdr:spPr>
    </xdr:pic>
    <xdr:clientData/>
  </xdr:twoCellAnchor>
  <xdr:twoCellAnchor>
    <xdr:from>
      <xdr:col>4</xdr:col>
      <xdr:colOff>276224</xdr:colOff>
      <xdr:row>0</xdr:row>
      <xdr:rowOff>47625</xdr:rowOff>
    </xdr:from>
    <xdr:to>
      <xdr:col>17</xdr:col>
      <xdr:colOff>192936</xdr:colOff>
      <xdr:row>3</xdr:row>
      <xdr:rowOff>118509</xdr:rowOff>
    </xdr:to>
    <xdr:sp macro="" textlink="">
      <xdr:nvSpPr>
        <xdr:cNvPr id="21" name="Rectangle 20">
          <a:extLst>
            <a:ext uri="{FF2B5EF4-FFF2-40B4-BE49-F238E27FC236}">
              <a16:creationId xmlns:a16="http://schemas.microsoft.com/office/drawing/2014/main" id="{0C7907DF-6388-4975-8BAA-75206FFB56A7}"/>
            </a:ext>
          </a:extLst>
        </xdr:cNvPr>
        <xdr:cNvSpPr/>
      </xdr:nvSpPr>
      <xdr:spPr>
        <a:xfrm>
          <a:off x="2714624" y="47625"/>
          <a:ext cx="7841512" cy="6423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t>HR ANALYTICS</a:t>
          </a:r>
          <a:r>
            <a:rPr lang="en-US" sz="4000" baseline="0"/>
            <a:t> TEAM DASHBOARD</a:t>
          </a:r>
          <a:endParaRPr lang="en-US" sz="4000"/>
        </a:p>
      </xdr:txBody>
    </xdr:sp>
    <xdr:clientData/>
  </xdr:twoCellAnchor>
  <xdr:twoCellAnchor>
    <xdr:from>
      <xdr:col>2</xdr:col>
      <xdr:colOff>171449</xdr:colOff>
      <xdr:row>9</xdr:row>
      <xdr:rowOff>123825</xdr:rowOff>
    </xdr:from>
    <xdr:to>
      <xdr:col>8</xdr:col>
      <xdr:colOff>257175</xdr:colOff>
      <xdr:row>19</xdr:row>
      <xdr:rowOff>171449</xdr:rowOff>
    </xdr:to>
    <xdr:graphicFrame macro="">
      <xdr:nvGraphicFramePr>
        <xdr:cNvPr id="22" name="Chart 21">
          <a:extLst>
            <a:ext uri="{FF2B5EF4-FFF2-40B4-BE49-F238E27FC236}">
              <a16:creationId xmlns:a16="http://schemas.microsoft.com/office/drawing/2014/main" id="{3ADFF63B-2F02-4EEC-92FC-665670A9A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404322</xdr:colOff>
      <xdr:row>9</xdr:row>
      <xdr:rowOff>180975</xdr:rowOff>
    </xdr:from>
    <xdr:to>
      <xdr:col>12</xdr:col>
      <xdr:colOff>333375</xdr:colOff>
      <xdr:row>19</xdr:row>
      <xdr:rowOff>171450</xdr:rowOff>
    </xdr:to>
    <xdr:graphicFrame macro="">
      <xdr:nvGraphicFramePr>
        <xdr:cNvPr id="23" name="Chart 22">
          <a:extLst>
            <a:ext uri="{FF2B5EF4-FFF2-40B4-BE49-F238E27FC236}">
              <a16:creationId xmlns:a16="http://schemas.microsoft.com/office/drawing/2014/main" id="{AE3ABB20-3AB8-479E-BF03-1C5066090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257174</xdr:colOff>
      <xdr:row>8</xdr:row>
      <xdr:rowOff>180976</xdr:rowOff>
    </xdr:from>
    <xdr:to>
      <xdr:col>19</xdr:col>
      <xdr:colOff>219075</xdr:colOff>
      <xdr:row>20</xdr:row>
      <xdr:rowOff>0</xdr:rowOff>
    </xdr:to>
    <xdr:graphicFrame macro="">
      <xdr:nvGraphicFramePr>
        <xdr:cNvPr id="24" name="Chart 23">
          <a:extLst>
            <a:ext uri="{FF2B5EF4-FFF2-40B4-BE49-F238E27FC236}">
              <a16:creationId xmlns:a16="http://schemas.microsoft.com/office/drawing/2014/main" id="{C60E8353-32C0-4A55-A214-D9DC8F778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133349</xdr:colOff>
      <xdr:row>4</xdr:row>
      <xdr:rowOff>187714</xdr:rowOff>
    </xdr:from>
    <xdr:to>
      <xdr:col>3</xdr:col>
      <xdr:colOff>123306</xdr:colOff>
      <xdr:row>8</xdr:row>
      <xdr:rowOff>16687</xdr:rowOff>
    </xdr:to>
    <xdr:pic>
      <xdr:nvPicPr>
        <xdr:cNvPr id="25" name="Graphic 24" descr="Group of people with solid fill">
          <a:extLst>
            <a:ext uri="{FF2B5EF4-FFF2-40B4-BE49-F238E27FC236}">
              <a16:creationId xmlns:a16="http://schemas.microsoft.com/office/drawing/2014/main" id="{C31DC7C5-3E9C-47BC-8B86-5A2EAA95872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52549" y="949714"/>
          <a:ext cx="599557" cy="590973"/>
        </a:xfrm>
        <a:prstGeom prst="rect">
          <a:avLst/>
        </a:prstGeom>
      </xdr:spPr>
    </xdr:pic>
    <xdr:clientData/>
  </xdr:twoCellAnchor>
  <xdr:twoCellAnchor editAs="oneCell">
    <xdr:from>
      <xdr:col>5</xdr:col>
      <xdr:colOff>445217</xdr:colOff>
      <xdr:row>4</xdr:row>
      <xdr:rowOff>183042</xdr:rowOff>
    </xdr:from>
    <xdr:to>
      <xdr:col>6</xdr:col>
      <xdr:colOff>435174</xdr:colOff>
      <xdr:row>8</xdr:row>
      <xdr:rowOff>9800</xdr:rowOff>
    </xdr:to>
    <xdr:pic>
      <xdr:nvPicPr>
        <xdr:cNvPr id="26" name="Graphic 25" descr="Group of women with solid fill">
          <a:extLst>
            <a:ext uri="{FF2B5EF4-FFF2-40B4-BE49-F238E27FC236}">
              <a16:creationId xmlns:a16="http://schemas.microsoft.com/office/drawing/2014/main" id="{F3394A22-4CAE-4F5C-9E94-AD5DFD130B9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93217" y="945042"/>
          <a:ext cx="599557" cy="588758"/>
        </a:xfrm>
        <a:prstGeom prst="rect">
          <a:avLst/>
        </a:prstGeom>
      </xdr:spPr>
    </xdr:pic>
    <xdr:clientData/>
  </xdr:twoCellAnchor>
  <xdr:twoCellAnchor editAs="oneCell">
    <xdr:from>
      <xdr:col>9</xdr:col>
      <xdr:colOff>112156</xdr:colOff>
      <xdr:row>4</xdr:row>
      <xdr:rowOff>114521</xdr:rowOff>
    </xdr:from>
    <xdr:to>
      <xdr:col>10</xdr:col>
      <xdr:colOff>102113</xdr:colOff>
      <xdr:row>7</xdr:row>
      <xdr:rowOff>133995</xdr:rowOff>
    </xdr:to>
    <xdr:pic>
      <xdr:nvPicPr>
        <xdr:cNvPr id="27" name="Graphic 26" descr="Group brainstorm with solid fill">
          <a:extLst>
            <a:ext uri="{FF2B5EF4-FFF2-40B4-BE49-F238E27FC236}">
              <a16:creationId xmlns:a16="http://schemas.microsoft.com/office/drawing/2014/main" id="{0AB8B767-0640-4B64-8E5C-CC0CF2B4391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98556" y="876521"/>
          <a:ext cx="599557" cy="590974"/>
        </a:xfrm>
        <a:prstGeom prst="rect">
          <a:avLst/>
        </a:prstGeom>
      </xdr:spPr>
    </xdr:pic>
    <xdr:clientData/>
  </xdr:twoCellAnchor>
  <xdr:twoCellAnchor editAs="oneCell">
    <xdr:from>
      <xdr:col>12</xdr:col>
      <xdr:colOff>483594</xdr:colOff>
      <xdr:row>4</xdr:row>
      <xdr:rowOff>137856</xdr:rowOff>
    </xdr:from>
    <xdr:to>
      <xdr:col>13</xdr:col>
      <xdr:colOff>473551</xdr:colOff>
      <xdr:row>7</xdr:row>
      <xdr:rowOff>157329</xdr:rowOff>
    </xdr:to>
    <xdr:pic>
      <xdr:nvPicPr>
        <xdr:cNvPr id="28" name="Graphic 27" descr="Call center with solid fill">
          <a:extLst>
            <a:ext uri="{FF2B5EF4-FFF2-40B4-BE49-F238E27FC236}">
              <a16:creationId xmlns:a16="http://schemas.microsoft.com/office/drawing/2014/main" id="{1E6A5125-416E-4418-BADD-E91199FE7E5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798794" y="899856"/>
          <a:ext cx="599557" cy="590973"/>
        </a:xfrm>
        <a:prstGeom prst="rect">
          <a:avLst/>
        </a:prstGeom>
      </xdr:spPr>
    </xdr:pic>
    <xdr:clientData/>
  </xdr:twoCellAnchor>
  <xdr:twoCellAnchor editAs="oneCell">
    <xdr:from>
      <xdr:col>16</xdr:col>
      <xdr:colOff>192731</xdr:colOff>
      <xdr:row>4</xdr:row>
      <xdr:rowOff>146142</xdr:rowOff>
    </xdr:from>
    <xdr:to>
      <xdr:col>17</xdr:col>
      <xdr:colOff>182688</xdr:colOff>
      <xdr:row>7</xdr:row>
      <xdr:rowOff>165616</xdr:rowOff>
    </xdr:to>
    <xdr:pic>
      <xdr:nvPicPr>
        <xdr:cNvPr id="29" name="Graphic 28" descr="Social network with solid fill">
          <a:extLst>
            <a:ext uri="{FF2B5EF4-FFF2-40B4-BE49-F238E27FC236}">
              <a16:creationId xmlns:a16="http://schemas.microsoft.com/office/drawing/2014/main" id="{061A30DB-6B7B-4C74-B721-73312DA6CE0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946331" y="908142"/>
          <a:ext cx="599557" cy="590974"/>
        </a:xfrm>
        <a:prstGeom prst="rect">
          <a:avLst/>
        </a:prstGeom>
      </xdr:spPr>
    </xdr:pic>
    <xdr:clientData/>
  </xdr:twoCellAnchor>
  <xdr:twoCellAnchor>
    <xdr:from>
      <xdr:col>3</xdr:col>
      <xdr:colOff>270944</xdr:colOff>
      <xdr:row>4</xdr:row>
      <xdr:rowOff>113636</xdr:rowOff>
    </xdr:from>
    <xdr:to>
      <xdr:col>5</xdr:col>
      <xdr:colOff>236831</xdr:colOff>
      <xdr:row>6</xdr:row>
      <xdr:rowOff>120281</xdr:rowOff>
    </xdr:to>
    <xdr:sp macro="" textlink="">
      <xdr:nvSpPr>
        <xdr:cNvPr id="30" name="TextBox 29">
          <a:extLst>
            <a:ext uri="{FF2B5EF4-FFF2-40B4-BE49-F238E27FC236}">
              <a16:creationId xmlns:a16="http://schemas.microsoft.com/office/drawing/2014/main" id="{35FD9817-8011-4039-9F66-99074CF154DE}"/>
            </a:ext>
          </a:extLst>
        </xdr:cNvPr>
        <xdr:cNvSpPr txBox="1"/>
      </xdr:nvSpPr>
      <xdr:spPr>
        <a:xfrm>
          <a:off x="2099744" y="875636"/>
          <a:ext cx="1185087"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Overall</a:t>
          </a:r>
          <a:r>
            <a:rPr lang="en-US" sz="1800" baseline="0"/>
            <a:t> HC </a:t>
          </a:r>
          <a:endParaRPr lang="en-US" sz="1800"/>
        </a:p>
      </xdr:txBody>
    </xdr:sp>
    <xdr:clientData/>
  </xdr:twoCellAnchor>
  <xdr:twoCellAnchor>
    <xdr:from>
      <xdr:col>6</xdr:col>
      <xdr:colOff>466317</xdr:colOff>
      <xdr:row>4</xdr:row>
      <xdr:rowOff>77752</xdr:rowOff>
    </xdr:from>
    <xdr:to>
      <xdr:col>8</xdr:col>
      <xdr:colOff>432204</xdr:colOff>
      <xdr:row>6</xdr:row>
      <xdr:rowOff>84397</xdr:rowOff>
    </xdr:to>
    <xdr:sp macro="" textlink="">
      <xdr:nvSpPr>
        <xdr:cNvPr id="31" name="TextBox 30">
          <a:extLst>
            <a:ext uri="{FF2B5EF4-FFF2-40B4-BE49-F238E27FC236}">
              <a16:creationId xmlns:a16="http://schemas.microsoft.com/office/drawing/2014/main" id="{0E886B17-FBB7-41B6-9F50-45E1A71179FF}"/>
            </a:ext>
          </a:extLst>
        </xdr:cNvPr>
        <xdr:cNvSpPr txBox="1"/>
      </xdr:nvSpPr>
      <xdr:spPr>
        <a:xfrm>
          <a:off x="4123917" y="839752"/>
          <a:ext cx="1185087"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Active HC </a:t>
          </a:r>
          <a:endParaRPr lang="en-US" sz="1800"/>
        </a:p>
      </xdr:txBody>
    </xdr:sp>
    <xdr:clientData/>
  </xdr:twoCellAnchor>
  <xdr:twoCellAnchor>
    <xdr:from>
      <xdr:col>10</xdr:col>
      <xdr:colOff>140695</xdr:colOff>
      <xdr:row>4</xdr:row>
      <xdr:rowOff>75093</xdr:rowOff>
    </xdr:from>
    <xdr:to>
      <xdr:col>12</xdr:col>
      <xdr:colOff>106582</xdr:colOff>
      <xdr:row>6</xdr:row>
      <xdr:rowOff>81738</xdr:rowOff>
    </xdr:to>
    <xdr:sp macro="" textlink="">
      <xdr:nvSpPr>
        <xdr:cNvPr id="32" name="TextBox 31">
          <a:extLst>
            <a:ext uri="{FF2B5EF4-FFF2-40B4-BE49-F238E27FC236}">
              <a16:creationId xmlns:a16="http://schemas.microsoft.com/office/drawing/2014/main" id="{E759A43B-498E-4BC6-8C73-E416493BD596}"/>
            </a:ext>
          </a:extLst>
        </xdr:cNvPr>
        <xdr:cNvSpPr txBox="1"/>
      </xdr:nvSpPr>
      <xdr:spPr>
        <a:xfrm>
          <a:off x="6236695" y="837093"/>
          <a:ext cx="1185087"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Attrition </a:t>
          </a:r>
          <a:endParaRPr lang="en-US" sz="1800"/>
        </a:p>
      </xdr:txBody>
    </xdr:sp>
    <xdr:clientData/>
  </xdr:twoCellAnchor>
  <xdr:twoCellAnchor>
    <xdr:from>
      <xdr:col>13</xdr:col>
      <xdr:colOff>546505</xdr:colOff>
      <xdr:row>4</xdr:row>
      <xdr:rowOff>72435</xdr:rowOff>
    </xdr:from>
    <xdr:to>
      <xdr:col>15</xdr:col>
      <xdr:colOff>575744</xdr:colOff>
      <xdr:row>6</xdr:row>
      <xdr:rowOff>79080</xdr:rowOff>
    </xdr:to>
    <xdr:sp macro="" textlink="">
      <xdr:nvSpPr>
        <xdr:cNvPr id="33" name="TextBox 32">
          <a:extLst>
            <a:ext uri="{FF2B5EF4-FFF2-40B4-BE49-F238E27FC236}">
              <a16:creationId xmlns:a16="http://schemas.microsoft.com/office/drawing/2014/main" id="{22C7BF18-7858-457B-B186-4E1FBE4CA1FD}"/>
            </a:ext>
          </a:extLst>
        </xdr:cNvPr>
        <xdr:cNvSpPr txBox="1"/>
      </xdr:nvSpPr>
      <xdr:spPr>
        <a:xfrm>
          <a:off x="8471305" y="834435"/>
          <a:ext cx="1248439"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Attrition % </a:t>
          </a:r>
          <a:endParaRPr lang="en-US" sz="1800"/>
        </a:p>
      </xdr:txBody>
    </xdr:sp>
    <xdr:clientData/>
  </xdr:twoCellAnchor>
  <xdr:twoCellAnchor>
    <xdr:from>
      <xdr:col>17</xdr:col>
      <xdr:colOff>209807</xdr:colOff>
      <xdr:row>4</xdr:row>
      <xdr:rowOff>47625</xdr:rowOff>
    </xdr:from>
    <xdr:to>
      <xdr:col>19</xdr:col>
      <xdr:colOff>175694</xdr:colOff>
      <xdr:row>6</xdr:row>
      <xdr:rowOff>54270</xdr:rowOff>
    </xdr:to>
    <xdr:sp macro="" textlink="">
      <xdr:nvSpPr>
        <xdr:cNvPr id="34" name="TextBox 33">
          <a:extLst>
            <a:ext uri="{FF2B5EF4-FFF2-40B4-BE49-F238E27FC236}">
              <a16:creationId xmlns:a16="http://schemas.microsoft.com/office/drawing/2014/main" id="{ABCB2682-B21B-4AC1-9830-A1AF5F8A82DF}"/>
            </a:ext>
          </a:extLst>
        </xdr:cNvPr>
        <xdr:cNvSpPr txBox="1"/>
      </xdr:nvSpPr>
      <xdr:spPr>
        <a:xfrm>
          <a:off x="10573007" y="809625"/>
          <a:ext cx="1185087"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Transfer </a:t>
          </a:r>
          <a:endParaRPr lang="en-US" sz="1800"/>
        </a:p>
      </xdr:txBody>
    </xdr:sp>
    <xdr:clientData/>
  </xdr:twoCellAnchor>
  <xdr:twoCellAnchor>
    <xdr:from>
      <xdr:col>3</xdr:col>
      <xdr:colOff>536762</xdr:colOff>
      <xdr:row>5</xdr:row>
      <xdr:rowOff>104105</xdr:rowOff>
    </xdr:from>
    <xdr:to>
      <xdr:col>5</xdr:col>
      <xdr:colOff>258987</xdr:colOff>
      <xdr:row>7</xdr:row>
      <xdr:rowOff>44297</xdr:rowOff>
    </xdr:to>
    <xdr:sp macro="" textlink="Pivot!B16">
      <xdr:nvSpPr>
        <xdr:cNvPr id="35" name="TextBox 34">
          <a:extLst>
            <a:ext uri="{FF2B5EF4-FFF2-40B4-BE49-F238E27FC236}">
              <a16:creationId xmlns:a16="http://schemas.microsoft.com/office/drawing/2014/main" id="{DE3573D7-417D-4876-992F-72C8F589BF34}"/>
            </a:ext>
          </a:extLst>
        </xdr:cNvPr>
        <xdr:cNvSpPr txBox="1"/>
      </xdr:nvSpPr>
      <xdr:spPr>
        <a:xfrm>
          <a:off x="2365562" y="1056605"/>
          <a:ext cx="941425"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46FE77-06DF-4B00-9B25-2F656624F64B}" type="TxLink">
            <a:rPr lang="en-US" sz="1800" b="1" i="0" u="none" strike="noStrike">
              <a:solidFill>
                <a:srgbClr val="000000"/>
              </a:solidFill>
              <a:latin typeface="Calibri"/>
              <a:cs typeface="Calibri"/>
            </a:rPr>
            <a:pPr/>
            <a:t>171</a:t>
          </a:fld>
          <a:endParaRPr lang="en-US" sz="1800" b="1"/>
        </a:p>
      </xdr:txBody>
    </xdr:sp>
    <xdr:clientData/>
  </xdr:twoCellAnchor>
  <xdr:twoCellAnchor>
    <xdr:from>
      <xdr:col>17</xdr:col>
      <xdr:colOff>483602</xdr:colOff>
      <xdr:row>5</xdr:row>
      <xdr:rowOff>104105</xdr:rowOff>
    </xdr:from>
    <xdr:to>
      <xdr:col>19</xdr:col>
      <xdr:colOff>205827</xdr:colOff>
      <xdr:row>7</xdr:row>
      <xdr:rowOff>44297</xdr:rowOff>
    </xdr:to>
    <xdr:sp macro="" textlink="Pivot!B20">
      <xdr:nvSpPr>
        <xdr:cNvPr id="36" name="TextBox 35">
          <a:extLst>
            <a:ext uri="{FF2B5EF4-FFF2-40B4-BE49-F238E27FC236}">
              <a16:creationId xmlns:a16="http://schemas.microsoft.com/office/drawing/2014/main" id="{FC1CFCBE-AC0F-4C74-92EF-EE266FBF2A33}"/>
            </a:ext>
          </a:extLst>
        </xdr:cNvPr>
        <xdr:cNvSpPr txBox="1"/>
      </xdr:nvSpPr>
      <xdr:spPr>
        <a:xfrm>
          <a:off x="10846802" y="1056605"/>
          <a:ext cx="941425"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FD7119-D4E5-4D5A-A325-BCE3C3F823FF}" type="TxLink">
            <a:rPr lang="en-US" sz="1800" b="1" i="0" u="none" strike="noStrike">
              <a:solidFill>
                <a:srgbClr val="000000"/>
              </a:solidFill>
              <a:latin typeface="Calibri"/>
              <a:cs typeface="Calibri"/>
            </a:rPr>
            <a:pPr/>
            <a:t>6</a:t>
          </a:fld>
          <a:endParaRPr lang="en-US" sz="1800" b="1"/>
        </a:p>
      </xdr:txBody>
    </xdr:sp>
    <xdr:clientData/>
  </xdr:twoCellAnchor>
  <xdr:twoCellAnchor>
    <xdr:from>
      <xdr:col>14</xdr:col>
      <xdr:colOff>116778</xdr:colOff>
      <xdr:row>5</xdr:row>
      <xdr:rowOff>104105</xdr:rowOff>
    </xdr:from>
    <xdr:to>
      <xdr:col>15</xdr:col>
      <xdr:colOff>448603</xdr:colOff>
      <xdr:row>7</xdr:row>
      <xdr:rowOff>44297</xdr:rowOff>
    </xdr:to>
    <xdr:sp macro="" textlink="Pivot!B19">
      <xdr:nvSpPr>
        <xdr:cNvPr id="37" name="TextBox 36">
          <a:extLst>
            <a:ext uri="{FF2B5EF4-FFF2-40B4-BE49-F238E27FC236}">
              <a16:creationId xmlns:a16="http://schemas.microsoft.com/office/drawing/2014/main" id="{9C1EAEF7-95C4-4B45-AF47-8FC3A41BF743}"/>
            </a:ext>
          </a:extLst>
        </xdr:cNvPr>
        <xdr:cNvSpPr txBox="1"/>
      </xdr:nvSpPr>
      <xdr:spPr>
        <a:xfrm>
          <a:off x="8651178" y="1056605"/>
          <a:ext cx="941425"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D25186-7D86-4527-A176-BD8E6491EBAA}" type="TxLink">
            <a:rPr lang="en-US" sz="1800" b="1" i="0" u="none" strike="noStrike">
              <a:solidFill>
                <a:srgbClr val="000000"/>
              </a:solidFill>
              <a:latin typeface="Calibri"/>
              <a:cs typeface="Calibri"/>
            </a:rPr>
            <a:pPr/>
            <a:t>27%</a:t>
          </a:fld>
          <a:endParaRPr lang="en-US" sz="1800" b="1"/>
        </a:p>
      </xdr:txBody>
    </xdr:sp>
    <xdr:clientData/>
  </xdr:twoCellAnchor>
  <xdr:twoCellAnchor>
    <xdr:from>
      <xdr:col>10</xdr:col>
      <xdr:colOff>326326</xdr:colOff>
      <xdr:row>5</xdr:row>
      <xdr:rowOff>104105</xdr:rowOff>
    </xdr:from>
    <xdr:to>
      <xdr:col>12</xdr:col>
      <xdr:colOff>48551</xdr:colOff>
      <xdr:row>7</xdr:row>
      <xdr:rowOff>44297</xdr:rowOff>
    </xdr:to>
    <xdr:sp macro="" textlink="Pivot!B18">
      <xdr:nvSpPr>
        <xdr:cNvPr id="38" name="TextBox 37">
          <a:extLst>
            <a:ext uri="{FF2B5EF4-FFF2-40B4-BE49-F238E27FC236}">
              <a16:creationId xmlns:a16="http://schemas.microsoft.com/office/drawing/2014/main" id="{C5E21CE2-1B69-47FB-A372-E3D81BF5BDF4}"/>
            </a:ext>
          </a:extLst>
        </xdr:cNvPr>
        <xdr:cNvSpPr txBox="1"/>
      </xdr:nvSpPr>
      <xdr:spPr>
        <a:xfrm>
          <a:off x="6422326" y="1056605"/>
          <a:ext cx="941425"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9F08E8-E7E0-42C0-B04D-60687269AD7C}" type="TxLink">
            <a:rPr lang="en-US" sz="1800" b="1" i="0" u="none" strike="noStrike">
              <a:solidFill>
                <a:srgbClr val="000000"/>
              </a:solidFill>
              <a:latin typeface="Calibri"/>
              <a:cs typeface="Calibri"/>
            </a:rPr>
            <a:pPr/>
            <a:t>47</a:t>
          </a:fld>
          <a:endParaRPr lang="en-US" sz="1800" b="1"/>
        </a:p>
      </xdr:txBody>
    </xdr:sp>
    <xdr:clientData/>
  </xdr:twoCellAnchor>
  <xdr:twoCellAnchor>
    <xdr:from>
      <xdr:col>7</xdr:col>
      <xdr:colOff>103486</xdr:colOff>
      <xdr:row>5</xdr:row>
      <xdr:rowOff>104105</xdr:rowOff>
    </xdr:from>
    <xdr:to>
      <xdr:col>8</xdr:col>
      <xdr:colOff>435311</xdr:colOff>
      <xdr:row>7</xdr:row>
      <xdr:rowOff>44297</xdr:rowOff>
    </xdr:to>
    <xdr:sp macro="" textlink="Pivot!B17">
      <xdr:nvSpPr>
        <xdr:cNvPr id="39" name="TextBox 38">
          <a:extLst>
            <a:ext uri="{FF2B5EF4-FFF2-40B4-BE49-F238E27FC236}">
              <a16:creationId xmlns:a16="http://schemas.microsoft.com/office/drawing/2014/main" id="{2E16A1B2-F4CA-4258-8D5A-45DE895E80F0}"/>
            </a:ext>
          </a:extLst>
        </xdr:cNvPr>
        <xdr:cNvSpPr txBox="1"/>
      </xdr:nvSpPr>
      <xdr:spPr>
        <a:xfrm>
          <a:off x="4370686" y="1056605"/>
          <a:ext cx="941425"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ACE2D4-CC06-4ADC-8A38-15E65B1F46F0}" type="TxLink">
            <a:rPr lang="en-US" sz="1800" b="1" i="0" u="none" strike="noStrike">
              <a:solidFill>
                <a:srgbClr val="000000"/>
              </a:solidFill>
              <a:latin typeface="Calibri"/>
              <a:cs typeface="Calibri"/>
            </a:rPr>
            <a:pPr/>
            <a:t>118</a:t>
          </a:fld>
          <a:endParaRPr lang="en-US" sz="1800" b="1"/>
        </a:p>
      </xdr:txBody>
    </xdr:sp>
    <xdr:clientData/>
  </xdr:twoCellAnchor>
  <xdr:twoCellAnchor>
    <xdr:from>
      <xdr:col>12</xdr:col>
      <xdr:colOff>216367</xdr:colOff>
      <xdr:row>12</xdr:row>
      <xdr:rowOff>38100</xdr:rowOff>
    </xdr:from>
    <xdr:to>
      <xdr:col>13</xdr:col>
      <xdr:colOff>265536</xdr:colOff>
      <xdr:row>14</xdr:row>
      <xdr:rowOff>3102</xdr:rowOff>
    </xdr:to>
    <xdr:sp macro="" textlink="[1]Pivot!C17">
      <xdr:nvSpPr>
        <xdr:cNvPr id="40" name="TextBox 39">
          <a:extLst>
            <a:ext uri="{FF2B5EF4-FFF2-40B4-BE49-F238E27FC236}">
              <a16:creationId xmlns:a16="http://schemas.microsoft.com/office/drawing/2014/main" id="{C1A3CAAE-C0C7-42B7-A2B6-EF306662E00B}"/>
            </a:ext>
          </a:extLst>
        </xdr:cNvPr>
        <xdr:cNvSpPr txBox="1"/>
      </xdr:nvSpPr>
      <xdr:spPr>
        <a:xfrm>
          <a:off x="7531567" y="2324100"/>
          <a:ext cx="658769" cy="346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Male</a:t>
          </a:r>
        </a:p>
      </xdr:txBody>
    </xdr:sp>
    <xdr:clientData/>
  </xdr:twoCellAnchor>
  <xdr:twoCellAnchor>
    <xdr:from>
      <xdr:col>12</xdr:col>
      <xdr:colOff>158331</xdr:colOff>
      <xdr:row>15</xdr:row>
      <xdr:rowOff>139553</xdr:rowOff>
    </xdr:from>
    <xdr:to>
      <xdr:col>13</xdr:col>
      <xdr:colOff>210156</xdr:colOff>
      <xdr:row>17</xdr:row>
      <xdr:rowOff>104555</xdr:rowOff>
    </xdr:to>
    <xdr:sp macro="" textlink="[1]Pivot!C17">
      <xdr:nvSpPr>
        <xdr:cNvPr id="41" name="TextBox 40">
          <a:extLst>
            <a:ext uri="{FF2B5EF4-FFF2-40B4-BE49-F238E27FC236}">
              <a16:creationId xmlns:a16="http://schemas.microsoft.com/office/drawing/2014/main" id="{F14CD95D-261B-43F9-A9DB-9550F856850F}"/>
            </a:ext>
          </a:extLst>
        </xdr:cNvPr>
        <xdr:cNvSpPr txBox="1"/>
      </xdr:nvSpPr>
      <xdr:spPr>
        <a:xfrm>
          <a:off x="7473531" y="2997053"/>
          <a:ext cx="661425" cy="346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Female</a:t>
          </a:r>
        </a:p>
      </xdr:txBody>
    </xdr:sp>
    <xdr:clientData/>
  </xdr:twoCellAnchor>
  <xdr:twoCellAnchor editAs="oneCell">
    <xdr:from>
      <xdr:col>11</xdr:col>
      <xdr:colOff>466725</xdr:colOff>
      <xdr:row>15</xdr:row>
      <xdr:rowOff>65575</xdr:rowOff>
    </xdr:from>
    <xdr:to>
      <xdr:col>12</xdr:col>
      <xdr:colOff>276630</xdr:colOff>
      <xdr:row>17</xdr:row>
      <xdr:rowOff>98698</xdr:rowOff>
    </xdr:to>
    <xdr:pic>
      <xdr:nvPicPr>
        <xdr:cNvPr id="42" name="Graphic 1" descr="Woman with solid fill">
          <a:extLst>
            <a:ext uri="{FF2B5EF4-FFF2-40B4-BE49-F238E27FC236}">
              <a16:creationId xmlns:a16="http://schemas.microsoft.com/office/drawing/2014/main" id="{EA24C0BE-AE4D-4037-9B7B-171C185724B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172325" y="2923075"/>
          <a:ext cx="419505" cy="414123"/>
        </a:xfrm>
        <a:prstGeom prst="rect">
          <a:avLst/>
        </a:prstGeom>
        <a:effectLst>
          <a:outerShdw blurRad="50800" dist="38100" dir="2700000" algn="tl" rotWithShape="0">
            <a:prstClr val="black">
              <a:alpha val="40000"/>
            </a:prstClr>
          </a:outerShdw>
        </a:effectLst>
      </xdr:spPr>
    </xdr:pic>
    <xdr:clientData/>
  </xdr:twoCellAnchor>
  <xdr:twoCellAnchor>
    <xdr:from>
      <xdr:col>12</xdr:col>
      <xdr:colOff>49562</xdr:colOff>
      <xdr:row>12</xdr:row>
      <xdr:rowOff>38101</xdr:rowOff>
    </xdr:from>
    <xdr:to>
      <xdr:col>12</xdr:col>
      <xdr:colOff>254904</xdr:colOff>
      <xdr:row>14</xdr:row>
      <xdr:rowOff>14448</xdr:rowOff>
    </xdr:to>
    <xdr:grpSp>
      <xdr:nvGrpSpPr>
        <xdr:cNvPr id="43" name="Graphic 2" descr="Man with solid fill">
          <a:extLst>
            <a:ext uri="{FF2B5EF4-FFF2-40B4-BE49-F238E27FC236}">
              <a16:creationId xmlns:a16="http://schemas.microsoft.com/office/drawing/2014/main" id="{E44AB454-30C4-4DCB-98C8-998EAE91A7A5}"/>
            </a:ext>
          </a:extLst>
        </xdr:cNvPr>
        <xdr:cNvGrpSpPr/>
      </xdr:nvGrpSpPr>
      <xdr:grpSpPr>
        <a:xfrm>
          <a:off x="7364762" y="2324101"/>
          <a:ext cx="205342" cy="357347"/>
          <a:chOff x="-1" y="0"/>
          <a:chExt cx="419100" cy="857250"/>
        </a:xfrm>
        <a:solidFill>
          <a:srgbClr val="00B0F0"/>
        </a:solidFill>
        <a:effectLst>
          <a:outerShdw blurRad="50800" dist="38100" dir="2700000" algn="tl" rotWithShape="0">
            <a:prstClr val="black">
              <a:alpha val="40000"/>
            </a:prstClr>
          </a:outerShdw>
        </a:effectLst>
      </xdr:grpSpPr>
      <xdr:sp macro="" textlink="">
        <xdr:nvSpPr>
          <xdr:cNvPr id="44" name="Oval 43">
            <a:extLst>
              <a:ext uri="{FF2B5EF4-FFF2-40B4-BE49-F238E27FC236}">
                <a16:creationId xmlns:a16="http://schemas.microsoft.com/office/drawing/2014/main" id="{D5019C9B-423C-08A9-C834-40753753771A}"/>
              </a:ext>
            </a:extLst>
          </xdr:cNvPr>
          <xdr:cNvSpPr/>
        </xdr:nvSpPr>
        <xdr:spPr>
          <a:xfrm>
            <a:off x="133350" y="0"/>
            <a:ext cx="152400" cy="152400"/>
          </a:xfrm>
          <a:prstGeom prst="ellipse">
            <a:avLst/>
          </a:prstGeom>
          <a:grpFill/>
          <a:ln w="9525" cap="flat">
            <a:noFill/>
            <a:prstDash val="solid"/>
            <a:miter/>
          </a:ln>
        </xdr:spPr>
        <xdr:txBody>
          <a:bodyPr wrap="square"/>
          <a:lstStyle/>
          <a:p>
            <a:endParaRPr lang="en-US"/>
          </a:p>
        </xdr:txBody>
      </xdr:sp>
      <xdr:sp macro="" textlink="">
        <xdr:nvSpPr>
          <xdr:cNvPr id="45" name="Freeform: Shape 44">
            <a:extLst>
              <a:ext uri="{FF2B5EF4-FFF2-40B4-BE49-F238E27FC236}">
                <a16:creationId xmlns:a16="http://schemas.microsoft.com/office/drawing/2014/main" id="{A7CD1780-B963-9E45-45ED-B9B0A19D337E}"/>
              </a:ext>
            </a:extLst>
          </xdr:cNvPr>
          <xdr:cNvSpPr/>
        </xdr:nvSpPr>
        <xdr:spPr>
          <a:xfrm>
            <a:off x="-1" y="171450"/>
            <a:ext cx="419100" cy="685800"/>
          </a:xfrm>
          <a:custGeom>
            <a:avLst/>
            <a:gdLst>
              <a:gd name="csX0" fmla="*/ 417195 w 419100"/>
              <a:gd name="csY0" fmla="*/ 297180 h 685800"/>
              <a:gd name="csX1" fmla="*/ 363855 w 419100"/>
              <a:gd name="csY1" fmla="*/ 70485 h 685800"/>
              <a:gd name="csX2" fmla="*/ 352425 w 419100"/>
              <a:gd name="csY2" fmla="*/ 49530 h 685800"/>
              <a:gd name="csX3" fmla="*/ 272415 w 419100"/>
              <a:gd name="csY3" fmla="*/ 7620 h 685800"/>
              <a:gd name="csX4" fmla="*/ 209550 w 419100"/>
              <a:gd name="csY4" fmla="*/ 0 h 685800"/>
              <a:gd name="csX5" fmla="*/ 146685 w 419100"/>
              <a:gd name="csY5" fmla="*/ 9525 h 685800"/>
              <a:gd name="csX6" fmla="*/ 66675 w 419100"/>
              <a:gd name="csY6" fmla="*/ 51435 h 685800"/>
              <a:gd name="csX7" fmla="*/ 55245 w 419100"/>
              <a:gd name="csY7" fmla="*/ 72390 h 685800"/>
              <a:gd name="csX8" fmla="*/ 1905 w 419100"/>
              <a:gd name="csY8" fmla="*/ 299085 h 685800"/>
              <a:gd name="csX9" fmla="*/ 0 w 419100"/>
              <a:gd name="csY9" fmla="*/ 308610 h 685800"/>
              <a:gd name="csX10" fmla="*/ 38100 w 419100"/>
              <a:gd name="csY10" fmla="*/ 346710 h 685800"/>
              <a:gd name="csX11" fmla="*/ 74295 w 419100"/>
              <a:gd name="csY11" fmla="*/ 318135 h 685800"/>
              <a:gd name="csX12" fmla="*/ 114300 w 419100"/>
              <a:gd name="csY12" fmla="*/ 152400 h 685800"/>
              <a:gd name="csX13" fmla="*/ 114300 w 419100"/>
              <a:gd name="csY13" fmla="*/ 685800 h 685800"/>
              <a:gd name="csX14" fmla="*/ 190500 w 419100"/>
              <a:gd name="csY14" fmla="*/ 685800 h 685800"/>
              <a:gd name="csX15" fmla="*/ 190500 w 419100"/>
              <a:gd name="csY15" fmla="*/ 342900 h 685800"/>
              <a:gd name="csX16" fmla="*/ 228600 w 419100"/>
              <a:gd name="csY16" fmla="*/ 342900 h 685800"/>
              <a:gd name="csX17" fmla="*/ 228600 w 419100"/>
              <a:gd name="csY17" fmla="*/ 685800 h 685800"/>
              <a:gd name="csX18" fmla="*/ 304800 w 419100"/>
              <a:gd name="csY18" fmla="*/ 685800 h 685800"/>
              <a:gd name="csX19" fmla="*/ 304800 w 419100"/>
              <a:gd name="csY19" fmla="*/ 150495 h 685800"/>
              <a:gd name="csX20" fmla="*/ 344805 w 419100"/>
              <a:gd name="csY20" fmla="*/ 316230 h 685800"/>
              <a:gd name="csX21" fmla="*/ 381000 w 419100"/>
              <a:gd name="csY21" fmla="*/ 344805 h 685800"/>
              <a:gd name="csX22" fmla="*/ 419100 w 419100"/>
              <a:gd name="csY22" fmla="*/ 306705 h 685800"/>
              <a:gd name="csX23" fmla="*/ 417195 w 419100"/>
              <a:gd name="csY23" fmla="*/ 297180 h 6858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Lst>
            <a:rect l="l" t="t" r="r" b="b"/>
            <a:pathLst>
              <a:path w="419100" h="685800">
                <a:moveTo>
                  <a:pt x="417195" y="297180"/>
                </a:moveTo>
                <a:lnTo>
                  <a:pt x="363855" y="70485"/>
                </a:lnTo>
                <a:cubicBezTo>
                  <a:pt x="361950" y="62865"/>
                  <a:pt x="358140" y="55245"/>
                  <a:pt x="352425" y="49530"/>
                </a:cubicBezTo>
                <a:cubicBezTo>
                  <a:pt x="329565" y="30480"/>
                  <a:pt x="302895" y="17145"/>
                  <a:pt x="272415" y="7620"/>
                </a:cubicBezTo>
                <a:cubicBezTo>
                  <a:pt x="251460" y="3810"/>
                  <a:pt x="230505" y="0"/>
                  <a:pt x="209550" y="0"/>
                </a:cubicBezTo>
                <a:cubicBezTo>
                  <a:pt x="188595" y="0"/>
                  <a:pt x="167640" y="3810"/>
                  <a:pt x="146685" y="9525"/>
                </a:cubicBezTo>
                <a:cubicBezTo>
                  <a:pt x="116205" y="17145"/>
                  <a:pt x="89535" y="32385"/>
                  <a:pt x="66675" y="51435"/>
                </a:cubicBezTo>
                <a:cubicBezTo>
                  <a:pt x="60960" y="57150"/>
                  <a:pt x="57150" y="64770"/>
                  <a:pt x="55245" y="72390"/>
                </a:cubicBezTo>
                <a:lnTo>
                  <a:pt x="1905" y="299085"/>
                </a:lnTo>
                <a:cubicBezTo>
                  <a:pt x="1905" y="300990"/>
                  <a:pt x="0" y="304800"/>
                  <a:pt x="0" y="308610"/>
                </a:cubicBezTo>
                <a:cubicBezTo>
                  <a:pt x="0" y="329565"/>
                  <a:pt x="17145" y="346710"/>
                  <a:pt x="38100" y="346710"/>
                </a:cubicBezTo>
                <a:cubicBezTo>
                  <a:pt x="55245" y="346710"/>
                  <a:pt x="70485" y="333375"/>
                  <a:pt x="74295" y="318135"/>
                </a:cubicBezTo>
                <a:lnTo>
                  <a:pt x="114300" y="152400"/>
                </a:lnTo>
                <a:lnTo>
                  <a:pt x="114300" y="685800"/>
                </a:lnTo>
                <a:lnTo>
                  <a:pt x="190500" y="685800"/>
                </a:lnTo>
                <a:lnTo>
                  <a:pt x="190500" y="342900"/>
                </a:lnTo>
                <a:lnTo>
                  <a:pt x="228600" y="342900"/>
                </a:lnTo>
                <a:lnTo>
                  <a:pt x="228600" y="685800"/>
                </a:lnTo>
                <a:lnTo>
                  <a:pt x="304800" y="685800"/>
                </a:lnTo>
                <a:lnTo>
                  <a:pt x="304800" y="150495"/>
                </a:lnTo>
                <a:lnTo>
                  <a:pt x="344805" y="316230"/>
                </a:lnTo>
                <a:cubicBezTo>
                  <a:pt x="348615" y="331470"/>
                  <a:pt x="363855" y="344805"/>
                  <a:pt x="381000" y="344805"/>
                </a:cubicBezTo>
                <a:cubicBezTo>
                  <a:pt x="401955" y="344805"/>
                  <a:pt x="419100" y="327660"/>
                  <a:pt x="419100" y="306705"/>
                </a:cubicBezTo>
                <a:cubicBezTo>
                  <a:pt x="419100" y="302895"/>
                  <a:pt x="417195" y="299085"/>
                  <a:pt x="417195" y="297180"/>
                </a:cubicBezTo>
                <a:close/>
              </a:path>
            </a:pathLst>
          </a:custGeom>
          <a:grpFill/>
          <a:ln w="9525" cap="flat">
            <a:noFill/>
            <a:prstDash val="solid"/>
            <a:miter/>
          </a:ln>
        </xdr:spPr>
        <xdr:txBody>
          <a:bodyPr wrap="square"/>
          <a:lstStyle/>
          <a:p>
            <a:endParaRPr lang="en-US"/>
          </a:p>
        </xdr:txBody>
      </xdr:sp>
    </xdr:grpSp>
    <xdr:clientData/>
  </xdr:twoCellAnchor>
  <xdr:twoCellAnchor>
    <xdr:from>
      <xdr:col>12</xdr:col>
      <xdr:colOff>248931</xdr:colOff>
      <xdr:row>16</xdr:row>
      <xdr:rowOff>69555</xdr:rowOff>
    </xdr:from>
    <xdr:to>
      <xdr:col>13</xdr:col>
      <xdr:colOff>115131</xdr:colOff>
      <xdr:row>18</xdr:row>
      <xdr:rowOff>34557</xdr:rowOff>
    </xdr:to>
    <xdr:sp macro="" textlink="Pivot!L16">
      <xdr:nvSpPr>
        <xdr:cNvPr id="46" name="TextBox 45">
          <a:extLst>
            <a:ext uri="{FF2B5EF4-FFF2-40B4-BE49-F238E27FC236}">
              <a16:creationId xmlns:a16="http://schemas.microsoft.com/office/drawing/2014/main" id="{7B398A7C-5C24-4D7E-8467-2A8F03D7F008}"/>
            </a:ext>
          </a:extLst>
        </xdr:cNvPr>
        <xdr:cNvSpPr txBox="1"/>
      </xdr:nvSpPr>
      <xdr:spPr>
        <a:xfrm>
          <a:off x="7564131" y="3117555"/>
          <a:ext cx="475800" cy="346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7BA417-4AB0-44F1-87BC-B59ECEC27311}" type="TxLink">
            <a:rPr lang="en-US" sz="1800" b="1" i="0" u="none" strike="noStrike">
              <a:solidFill>
                <a:srgbClr val="FF0000"/>
              </a:solidFill>
              <a:latin typeface="Calibri"/>
              <a:cs typeface="Calibri"/>
            </a:rPr>
            <a:pPr/>
            <a:t>45</a:t>
          </a:fld>
          <a:endParaRPr lang="en-US" sz="1800" b="1">
            <a:solidFill>
              <a:srgbClr val="FF0000"/>
            </a:solidFill>
          </a:endParaRPr>
        </a:p>
      </xdr:txBody>
    </xdr:sp>
    <xdr:clientData/>
  </xdr:twoCellAnchor>
  <xdr:twoCellAnchor>
    <xdr:from>
      <xdr:col>12</xdr:col>
      <xdr:colOff>282600</xdr:colOff>
      <xdr:row>12</xdr:row>
      <xdr:rowOff>165913</xdr:rowOff>
    </xdr:from>
    <xdr:to>
      <xdr:col>13</xdr:col>
      <xdr:colOff>133350</xdr:colOff>
      <xdr:row>14</xdr:row>
      <xdr:rowOff>130915</xdr:rowOff>
    </xdr:to>
    <xdr:sp macro="" textlink="Pivot!L17">
      <xdr:nvSpPr>
        <xdr:cNvPr id="47" name="TextBox 46">
          <a:extLst>
            <a:ext uri="{FF2B5EF4-FFF2-40B4-BE49-F238E27FC236}">
              <a16:creationId xmlns:a16="http://schemas.microsoft.com/office/drawing/2014/main" id="{C9791D6A-0F2C-41F9-9DCE-90B64EFB6340}"/>
            </a:ext>
          </a:extLst>
        </xdr:cNvPr>
        <xdr:cNvSpPr txBox="1"/>
      </xdr:nvSpPr>
      <xdr:spPr>
        <a:xfrm>
          <a:off x="7597800" y="2451913"/>
          <a:ext cx="460350" cy="346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A3EF23-5D60-4EA8-ABDB-FCB1E0536FB1}" type="TxLink">
            <a:rPr lang="en-US" sz="1800" b="1" i="0" u="none" strike="noStrike">
              <a:solidFill>
                <a:srgbClr val="00B0F0"/>
              </a:solidFill>
              <a:latin typeface="Calibri"/>
              <a:cs typeface="Calibri"/>
            </a:rPr>
            <a:pPr/>
            <a:t>73</a:t>
          </a:fld>
          <a:endParaRPr lang="en-US" sz="1800" b="1">
            <a:solidFill>
              <a:srgbClr val="00B0F0"/>
            </a:solidFill>
          </a:endParaRPr>
        </a:p>
      </xdr:txBody>
    </xdr:sp>
    <xdr:clientData/>
  </xdr:twoCellAnchor>
  <xdr:twoCellAnchor>
    <xdr:from>
      <xdr:col>17</xdr:col>
      <xdr:colOff>234975</xdr:colOff>
      <xdr:row>9</xdr:row>
      <xdr:rowOff>137338</xdr:rowOff>
    </xdr:from>
    <xdr:to>
      <xdr:col>19</xdr:col>
      <xdr:colOff>275287</xdr:colOff>
      <xdr:row>11</xdr:row>
      <xdr:rowOff>77530</xdr:rowOff>
    </xdr:to>
    <xdr:sp macro="" textlink="[1]Pivot!C17">
      <xdr:nvSpPr>
        <xdr:cNvPr id="48" name="TextBox 47">
          <a:extLst>
            <a:ext uri="{FF2B5EF4-FFF2-40B4-BE49-F238E27FC236}">
              <a16:creationId xmlns:a16="http://schemas.microsoft.com/office/drawing/2014/main" id="{66FDF701-186B-4631-8610-E3CA6E8C6F29}"/>
            </a:ext>
          </a:extLst>
        </xdr:cNvPr>
        <xdr:cNvSpPr txBox="1"/>
      </xdr:nvSpPr>
      <xdr:spPr>
        <a:xfrm>
          <a:off x="10598175" y="1851838"/>
          <a:ext cx="1259512"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Management</a:t>
          </a:r>
        </a:p>
      </xdr:txBody>
    </xdr:sp>
    <xdr:clientData/>
  </xdr:twoCellAnchor>
  <xdr:twoCellAnchor>
    <xdr:from>
      <xdr:col>17</xdr:col>
      <xdr:colOff>298770</xdr:colOff>
      <xdr:row>12</xdr:row>
      <xdr:rowOff>17278</xdr:rowOff>
    </xdr:from>
    <xdr:to>
      <xdr:col>19</xdr:col>
      <xdr:colOff>339082</xdr:colOff>
      <xdr:row>13</xdr:row>
      <xdr:rowOff>147970</xdr:rowOff>
    </xdr:to>
    <xdr:sp macro="" textlink="[1]Pivot!C17">
      <xdr:nvSpPr>
        <xdr:cNvPr id="49" name="TextBox 48">
          <a:extLst>
            <a:ext uri="{FF2B5EF4-FFF2-40B4-BE49-F238E27FC236}">
              <a16:creationId xmlns:a16="http://schemas.microsoft.com/office/drawing/2014/main" id="{45D31686-D420-49E9-9B1C-9D39D64D3C77}"/>
            </a:ext>
          </a:extLst>
        </xdr:cNvPr>
        <xdr:cNvSpPr txBox="1"/>
      </xdr:nvSpPr>
      <xdr:spPr>
        <a:xfrm>
          <a:off x="10661970" y="2303278"/>
          <a:ext cx="1259512"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Professional</a:t>
          </a:r>
        </a:p>
      </xdr:txBody>
    </xdr:sp>
    <xdr:clientData/>
  </xdr:twoCellAnchor>
  <xdr:twoCellAnchor>
    <xdr:from>
      <xdr:col>17</xdr:col>
      <xdr:colOff>406868</xdr:colOff>
      <xdr:row>14</xdr:row>
      <xdr:rowOff>98795</xdr:rowOff>
    </xdr:from>
    <xdr:to>
      <xdr:col>19</xdr:col>
      <xdr:colOff>186681</xdr:colOff>
      <xdr:row>16</xdr:row>
      <xdr:rowOff>38987</xdr:rowOff>
    </xdr:to>
    <xdr:sp macro="" textlink="[1]Pivot!C17">
      <xdr:nvSpPr>
        <xdr:cNvPr id="50" name="TextBox 49">
          <a:extLst>
            <a:ext uri="{FF2B5EF4-FFF2-40B4-BE49-F238E27FC236}">
              <a16:creationId xmlns:a16="http://schemas.microsoft.com/office/drawing/2014/main" id="{E2B42E87-3537-4421-81EF-7920807345CD}"/>
            </a:ext>
          </a:extLst>
        </xdr:cNvPr>
        <xdr:cNvSpPr txBox="1"/>
      </xdr:nvSpPr>
      <xdr:spPr>
        <a:xfrm>
          <a:off x="10770068" y="2765795"/>
          <a:ext cx="999013"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Trainee</a:t>
          </a:r>
        </a:p>
      </xdr:txBody>
    </xdr:sp>
    <xdr:clientData/>
  </xdr:twoCellAnchor>
  <xdr:twoCellAnchor>
    <xdr:from>
      <xdr:col>17</xdr:col>
      <xdr:colOff>370983</xdr:colOff>
      <xdr:row>16</xdr:row>
      <xdr:rowOff>136008</xdr:rowOff>
    </xdr:from>
    <xdr:to>
      <xdr:col>19</xdr:col>
      <xdr:colOff>150796</xdr:colOff>
      <xdr:row>18</xdr:row>
      <xdr:rowOff>76200</xdr:rowOff>
    </xdr:to>
    <xdr:sp macro="" textlink="[1]Pivot!C17">
      <xdr:nvSpPr>
        <xdr:cNvPr id="51" name="TextBox 50">
          <a:extLst>
            <a:ext uri="{FF2B5EF4-FFF2-40B4-BE49-F238E27FC236}">
              <a16:creationId xmlns:a16="http://schemas.microsoft.com/office/drawing/2014/main" id="{683D4E2F-7CD7-44DC-AAC8-642EB6F8E2AD}"/>
            </a:ext>
          </a:extLst>
        </xdr:cNvPr>
        <xdr:cNvSpPr txBox="1"/>
      </xdr:nvSpPr>
      <xdr:spPr>
        <a:xfrm>
          <a:off x="10734183" y="3184008"/>
          <a:ext cx="999013"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Contract</a:t>
          </a:r>
        </a:p>
      </xdr:txBody>
    </xdr:sp>
    <xdr:clientData/>
  </xdr:twoCellAnchor>
  <xdr:twoCellAnchor>
    <xdr:from>
      <xdr:col>17</xdr:col>
      <xdr:colOff>597811</xdr:colOff>
      <xdr:row>10</xdr:row>
      <xdr:rowOff>176767</xdr:rowOff>
    </xdr:from>
    <xdr:to>
      <xdr:col>18</xdr:col>
      <xdr:colOff>596920</xdr:colOff>
      <xdr:row>12</xdr:row>
      <xdr:rowOff>116959</xdr:rowOff>
    </xdr:to>
    <xdr:sp macro="" textlink="Pivot!P17">
      <xdr:nvSpPr>
        <xdr:cNvPr id="52" name="TextBox 51">
          <a:extLst>
            <a:ext uri="{FF2B5EF4-FFF2-40B4-BE49-F238E27FC236}">
              <a16:creationId xmlns:a16="http://schemas.microsoft.com/office/drawing/2014/main" id="{5DC7EE8D-F106-4485-A5C6-DA3BEA0ABB72}"/>
            </a:ext>
          </a:extLst>
        </xdr:cNvPr>
        <xdr:cNvSpPr txBox="1"/>
      </xdr:nvSpPr>
      <xdr:spPr>
        <a:xfrm>
          <a:off x="10961011" y="2081767"/>
          <a:ext cx="608709"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EC4BCB-B546-4AA6-B8EE-443C9A2202AA}" type="TxLink">
            <a:rPr lang="en-US" sz="1600" b="1" i="0" u="none" strike="noStrike">
              <a:solidFill>
                <a:srgbClr val="FF0000"/>
              </a:solidFill>
              <a:latin typeface="Calibri"/>
              <a:cs typeface="Calibri"/>
            </a:rPr>
            <a:pPr/>
            <a:t>21</a:t>
          </a:fld>
          <a:endParaRPr lang="en-US" sz="1600" b="1">
            <a:solidFill>
              <a:srgbClr val="FF0000"/>
            </a:solidFill>
          </a:endParaRPr>
        </a:p>
      </xdr:txBody>
    </xdr:sp>
    <xdr:clientData/>
  </xdr:twoCellAnchor>
  <xdr:twoCellAnchor>
    <xdr:from>
      <xdr:col>17</xdr:col>
      <xdr:colOff>595153</xdr:colOff>
      <xdr:row>13</xdr:row>
      <xdr:rowOff>67783</xdr:rowOff>
    </xdr:from>
    <xdr:to>
      <xdr:col>18</xdr:col>
      <xdr:colOff>594262</xdr:colOff>
      <xdr:row>15</xdr:row>
      <xdr:rowOff>7975</xdr:rowOff>
    </xdr:to>
    <xdr:sp macro="" textlink="Pivot!P18">
      <xdr:nvSpPr>
        <xdr:cNvPr id="53" name="TextBox 52">
          <a:extLst>
            <a:ext uri="{FF2B5EF4-FFF2-40B4-BE49-F238E27FC236}">
              <a16:creationId xmlns:a16="http://schemas.microsoft.com/office/drawing/2014/main" id="{B2F85135-E261-4AAC-BA37-1F2375828AAA}"/>
            </a:ext>
          </a:extLst>
        </xdr:cNvPr>
        <xdr:cNvSpPr txBox="1"/>
      </xdr:nvSpPr>
      <xdr:spPr>
        <a:xfrm>
          <a:off x="10958353" y="2544283"/>
          <a:ext cx="608709"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278DB8-A0EF-40B4-923D-2166BD38B15C}" type="TxLink">
            <a:rPr lang="en-US" sz="1600" b="1" i="0" u="none" strike="noStrike">
              <a:solidFill>
                <a:srgbClr val="00B0F0"/>
              </a:solidFill>
              <a:latin typeface="Calibri"/>
              <a:ea typeface="+mn-ea"/>
              <a:cs typeface="Calibri"/>
            </a:rPr>
            <a:pPr marL="0" indent="0"/>
            <a:t>43</a:t>
          </a:fld>
          <a:endParaRPr lang="en-US" sz="1600" b="1" i="0" u="none" strike="noStrike">
            <a:solidFill>
              <a:srgbClr val="00B0F0"/>
            </a:solidFill>
            <a:latin typeface="Calibri"/>
            <a:ea typeface="+mn-ea"/>
            <a:cs typeface="Calibri"/>
          </a:endParaRPr>
        </a:p>
      </xdr:txBody>
    </xdr:sp>
    <xdr:clientData/>
  </xdr:twoCellAnchor>
  <xdr:twoCellAnchor>
    <xdr:from>
      <xdr:col>17</xdr:col>
      <xdr:colOff>603571</xdr:colOff>
      <xdr:row>17</xdr:row>
      <xdr:rowOff>167020</xdr:rowOff>
    </xdr:from>
    <xdr:to>
      <xdr:col>18</xdr:col>
      <xdr:colOff>602680</xdr:colOff>
      <xdr:row>19</xdr:row>
      <xdr:rowOff>107212</xdr:rowOff>
    </xdr:to>
    <xdr:sp macro="" textlink="Pivot!P16">
      <xdr:nvSpPr>
        <xdr:cNvPr id="54" name="TextBox 53">
          <a:extLst>
            <a:ext uri="{FF2B5EF4-FFF2-40B4-BE49-F238E27FC236}">
              <a16:creationId xmlns:a16="http://schemas.microsoft.com/office/drawing/2014/main" id="{C333977C-F317-4E8E-8C1C-185B60A92A64}"/>
            </a:ext>
          </a:extLst>
        </xdr:cNvPr>
        <xdr:cNvSpPr txBox="1"/>
      </xdr:nvSpPr>
      <xdr:spPr>
        <a:xfrm>
          <a:off x="10966771" y="3405520"/>
          <a:ext cx="608709"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F82F6B-47E4-4C39-A017-ED0440F6685B}" type="TxLink">
            <a:rPr lang="en-US" sz="1600" b="1" i="0" u="none" strike="noStrike">
              <a:solidFill>
                <a:srgbClr val="FFC000"/>
              </a:solidFill>
              <a:latin typeface="Calibri"/>
              <a:ea typeface="+mn-ea"/>
              <a:cs typeface="Calibri"/>
            </a:rPr>
            <a:pPr marL="0" indent="0"/>
            <a:t>13</a:t>
          </a:fld>
          <a:endParaRPr lang="en-US" sz="1600" b="1" i="0" u="none" strike="noStrike">
            <a:solidFill>
              <a:srgbClr val="FFC000"/>
            </a:solidFill>
            <a:latin typeface="Calibri"/>
            <a:ea typeface="+mn-ea"/>
            <a:cs typeface="Calibri"/>
          </a:endParaRPr>
        </a:p>
      </xdr:txBody>
    </xdr:sp>
    <xdr:clientData/>
  </xdr:twoCellAnchor>
  <xdr:twoCellAnchor>
    <xdr:from>
      <xdr:col>17</xdr:col>
      <xdr:colOff>578762</xdr:colOff>
      <xdr:row>15</xdr:row>
      <xdr:rowOff>102338</xdr:rowOff>
    </xdr:from>
    <xdr:to>
      <xdr:col>18</xdr:col>
      <xdr:colOff>577871</xdr:colOff>
      <xdr:row>17</xdr:row>
      <xdr:rowOff>42530</xdr:rowOff>
    </xdr:to>
    <xdr:sp macro="" textlink="Pivot!P19">
      <xdr:nvSpPr>
        <xdr:cNvPr id="55" name="TextBox 54">
          <a:extLst>
            <a:ext uri="{FF2B5EF4-FFF2-40B4-BE49-F238E27FC236}">
              <a16:creationId xmlns:a16="http://schemas.microsoft.com/office/drawing/2014/main" id="{C3F0DB00-09D8-4718-BB5E-29348FFEDCB1}"/>
            </a:ext>
          </a:extLst>
        </xdr:cNvPr>
        <xdr:cNvSpPr txBox="1"/>
      </xdr:nvSpPr>
      <xdr:spPr>
        <a:xfrm>
          <a:off x="10941962" y="2959838"/>
          <a:ext cx="608709"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1E5463-38A2-461D-B478-DDBB29B2DB31}" type="TxLink">
            <a:rPr lang="en-US" sz="1600" b="1" i="0" u="none" strike="noStrike">
              <a:solidFill>
                <a:srgbClr val="92D050"/>
              </a:solidFill>
              <a:latin typeface="Calibri"/>
              <a:cs typeface="Calibri"/>
            </a:rPr>
            <a:pPr/>
            <a:t>41</a:t>
          </a:fld>
          <a:endParaRPr lang="en-US" sz="1600" b="1">
            <a:solidFill>
              <a:srgbClr val="92D050"/>
            </a:solidFill>
          </a:endParaRPr>
        </a:p>
      </xdr:txBody>
    </xdr:sp>
    <xdr:clientData/>
  </xdr:twoCellAnchor>
  <xdr:twoCellAnchor>
    <xdr:from>
      <xdr:col>2</xdr:col>
      <xdr:colOff>142874</xdr:colOff>
      <xdr:row>20</xdr:row>
      <xdr:rowOff>114301</xdr:rowOff>
    </xdr:from>
    <xdr:to>
      <xdr:col>6</xdr:col>
      <xdr:colOff>352425</xdr:colOff>
      <xdr:row>31</xdr:row>
      <xdr:rowOff>180975</xdr:rowOff>
    </xdr:to>
    <xdr:graphicFrame macro="">
      <xdr:nvGraphicFramePr>
        <xdr:cNvPr id="56" name="Chart 55">
          <a:extLst>
            <a:ext uri="{FF2B5EF4-FFF2-40B4-BE49-F238E27FC236}">
              <a16:creationId xmlns:a16="http://schemas.microsoft.com/office/drawing/2014/main" id="{A20DF3F7-F8C3-4F24-B2AA-F5688F385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504825</xdr:colOff>
      <xdr:row>22</xdr:row>
      <xdr:rowOff>28576</xdr:rowOff>
    </xdr:from>
    <xdr:to>
      <xdr:col>10</xdr:col>
      <xdr:colOff>561975</xdr:colOff>
      <xdr:row>31</xdr:row>
      <xdr:rowOff>152400</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D4D8FBC2-D683-4455-9BDD-82E7913638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4162425" y="4219576"/>
              <a:ext cx="2495550" cy="18383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600772</xdr:colOff>
      <xdr:row>21</xdr:row>
      <xdr:rowOff>171450</xdr:rowOff>
    </xdr:from>
    <xdr:to>
      <xdr:col>13</xdr:col>
      <xdr:colOff>533400</xdr:colOff>
      <xdr:row>31</xdr:row>
      <xdr:rowOff>114300</xdr:rowOff>
    </xdr:to>
    <xdr:graphicFrame macro="">
      <xdr:nvGraphicFramePr>
        <xdr:cNvPr id="58" name="Chart 57">
          <a:extLst>
            <a:ext uri="{FF2B5EF4-FFF2-40B4-BE49-F238E27FC236}">
              <a16:creationId xmlns:a16="http://schemas.microsoft.com/office/drawing/2014/main" id="{B3D7FA30-B8D8-4BDA-A6EC-A7458FCA8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13</xdr:col>
      <xdr:colOff>276055</xdr:colOff>
      <xdr:row>22</xdr:row>
      <xdr:rowOff>152400</xdr:rowOff>
    </xdr:from>
    <xdr:to>
      <xdr:col>14</xdr:col>
      <xdr:colOff>71267</xdr:colOff>
      <xdr:row>24</xdr:row>
      <xdr:rowOff>171782</xdr:rowOff>
    </xdr:to>
    <xdr:pic>
      <xdr:nvPicPr>
        <xdr:cNvPr id="59" name="Graphic 1" descr="Female Profile with solid fill">
          <a:extLst>
            <a:ext uri="{FF2B5EF4-FFF2-40B4-BE49-F238E27FC236}">
              <a16:creationId xmlns:a16="http://schemas.microsoft.com/office/drawing/2014/main" id="{F1696C6B-3717-4957-9FF5-92C9974E87E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200855" y="4343400"/>
          <a:ext cx="404812" cy="400382"/>
        </a:xfrm>
        <a:prstGeom prst="rect">
          <a:avLst/>
        </a:prstGeom>
        <a:effectLst>
          <a:outerShdw blurRad="50800" dist="38100" dir="2700000" algn="tl" rotWithShape="0">
            <a:prstClr val="black">
              <a:alpha val="40000"/>
            </a:prstClr>
          </a:outerShdw>
        </a:effectLst>
      </xdr:spPr>
    </xdr:pic>
    <xdr:clientData/>
  </xdr:twoCellAnchor>
  <xdr:twoCellAnchor editAs="oneCell">
    <xdr:from>
      <xdr:col>13</xdr:col>
      <xdr:colOff>167071</xdr:colOff>
      <xdr:row>27</xdr:row>
      <xdr:rowOff>183302</xdr:rowOff>
    </xdr:from>
    <xdr:to>
      <xdr:col>13</xdr:col>
      <xdr:colOff>571883</xdr:colOff>
      <xdr:row>30</xdr:row>
      <xdr:rowOff>12184</xdr:rowOff>
    </xdr:to>
    <xdr:pic>
      <xdr:nvPicPr>
        <xdr:cNvPr id="60" name="Graphic 1" descr="Female Profile with solid fill">
          <a:extLst>
            <a:ext uri="{FF2B5EF4-FFF2-40B4-BE49-F238E27FC236}">
              <a16:creationId xmlns:a16="http://schemas.microsoft.com/office/drawing/2014/main" id="{CE0FC673-7F73-42E5-8D72-723FFEF0DCB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091871" y="5326802"/>
          <a:ext cx="404812" cy="400382"/>
        </a:xfrm>
        <a:prstGeom prst="rect">
          <a:avLst/>
        </a:prstGeom>
        <a:effectLst>
          <a:outerShdw blurRad="50800" dist="38100" dir="2700000" algn="tl" rotWithShape="0">
            <a:prstClr val="black">
              <a:alpha val="40000"/>
            </a:prstClr>
          </a:outerShdw>
        </a:effectLst>
      </xdr:spPr>
    </xdr:pic>
    <xdr:clientData/>
  </xdr:twoCellAnchor>
  <xdr:twoCellAnchor>
    <xdr:from>
      <xdr:col>13</xdr:col>
      <xdr:colOff>53384</xdr:colOff>
      <xdr:row>24</xdr:row>
      <xdr:rowOff>110810</xdr:rowOff>
    </xdr:from>
    <xdr:to>
      <xdr:col>14</xdr:col>
      <xdr:colOff>492858</xdr:colOff>
      <xdr:row>26</xdr:row>
      <xdr:rowOff>51002</xdr:rowOff>
    </xdr:to>
    <xdr:sp macro="" textlink="[1]Pivot!C17">
      <xdr:nvSpPr>
        <xdr:cNvPr id="61" name="TextBox 60">
          <a:extLst>
            <a:ext uri="{FF2B5EF4-FFF2-40B4-BE49-F238E27FC236}">
              <a16:creationId xmlns:a16="http://schemas.microsoft.com/office/drawing/2014/main" id="{A6EAFFF2-B7BF-4005-BF52-56F8F62C4DA1}"/>
            </a:ext>
          </a:extLst>
        </xdr:cNvPr>
        <xdr:cNvSpPr txBox="1"/>
      </xdr:nvSpPr>
      <xdr:spPr>
        <a:xfrm>
          <a:off x="7978184" y="4682810"/>
          <a:ext cx="1049074"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Permanent</a:t>
          </a:r>
        </a:p>
      </xdr:txBody>
    </xdr:sp>
    <xdr:clientData/>
  </xdr:twoCellAnchor>
  <xdr:twoCellAnchor>
    <xdr:from>
      <xdr:col>13</xdr:col>
      <xdr:colOff>28574</xdr:colOff>
      <xdr:row>29</xdr:row>
      <xdr:rowOff>112361</xdr:rowOff>
    </xdr:from>
    <xdr:to>
      <xdr:col>14</xdr:col>
      <xdr:colOff>293497</xdr:colOff>
      <xdr:row>31</xdr:row>
      <xdr:rowOff>52553</xdr:rowOff>
    </xdr:to>
    <xdr:sp macro="" textlink="[1]Pivot!C17">
      <xdr:nvSpPr>
        <xdr:cNvPr id="62" name="TextBox 61">
          <a:extLst>
            <a:ext uri="{FF2B5EF4-FFF2-40B4-BE49-F238E27FC236}">
              <a16:creationId xmlns:a16="http://schemas.microsoft.com/office/drawing/2014/main" id="{C62D7BB9-E61B-4C69-A6DC-934EEF09707A}"/>
            </a:ext>
          </a:extLst>
        </xdr:cNvPr>
        <xdr:cNvSpPr txBox="1"/>
      </xdr:nvSpPr>
      <xdr:spPr>
        <a:xfrm>
          <a:off x="7953374" y="5636861"/>
          <a:ext cx="874523"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Contract</a:t>
          </a:r>
        </a:p>
      </xdr:txBody>
    </xdr:sp>
    <xdr:clientData/>
  </xdr:twoCellAnchor>
  <xdr:twoCellAnchor>
    <xdr:from>
      <xdr:col>13</xdr:col>
      <xdr:colOff>582353</xdr:colOff>
      <xdr:row>23</xdr:row>
      <xdr:rowOff>10686</xdr:rowOff>
    </xdr:from>
    <xdr:to>
      <xdr:col>14</xdr:col>
      <xdr:colOff>592538</xdr:colOff>
      <xdr:row>24</xdr:row>
      <xdr:rowOff>141378</xdr:rowOff>
    </xdr:to>
    <xdr:sp macro="" textlink="Pivot!AB17">
      <xdr:nvSpPr>
        <xdr:cNvPr id="63" name="TextBox 62">
          <a:extLst>
            <a:ext uri="{FF2B5EF4-FFF2-40B4-BE49-F238E27FC236}">
              <a16:creationId xmlns:a16="http://schemas.microsoft.com/office/drawing/2014/main" id="{F087104D-84A2-46FA-905F-A5F5DE4CA381}"/>
            </a:ext>
          </a:extLst>
        </xdr:cNvPr>
        <xdr:cNvSpPr txBox="1"/>
      </xdr:nvSpPr>
      <xdr:spPr>
        <a:xfrm>
          <a:off x="8507153" y="4392186"/>
          <a:ext cx="619785"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300C8C-6D82-4183-AABD-F50A23A665C9}" type="TxLink">
            <a:rPr lang="en-US" sz="1600" b="1" i="0" u="none" strike="noStrike">
              <a:solidFill>
                <a:srgbClr val="00B0F0"/>
              </a:solidFill>
              <a:latin typeface="Calibri"/>
              <a:ea typeface="+mn-ea"/>
              <a:cs typeface="Calibri"/>
            </a:rPr>
            <a:pPr marL="0" indent="0"/>
            <a:t>105</a:t>
          </a:fld>
          <a:endParaRPr lang="en-US" sz="1600" b="1" i="0" u="none" strike="noStrike">
            <a:solidFill>
              <a:srgbClr val="00B0F0"/>
            </a:solidFill>
            <a:latin typeface="Calibri"/>
            <a:ea typeface="+mn-ea"/>
            <a:cs typeface="Calibri"/>
          </a:endParaRPr>
        </a:p>
      </xdr:txBody>
    </xdr:sp>
    <xdr:clientData/>
  </xdr:twoCellAnchor>
  <xdr:twoCellAnchor>
    <xdr:from>
      <xdr:col>13</xdr:col>
      <xdr:colOff>535391</xdr:colOff>
      <xdr:row>28</xdr:row>
      <xdr:rowOff>23311</xdr:rowOff>
    </xdr:from>
    <xdr:to>
      <xdr:col>14</xdr:col>
      <xdr:colOff>415328</xdr:colOff>
      <xdr:row>29</xdr:row>
      <xdr:rowOff>154003</xdr:rowOff>
    </xdr:to>
    <xdr:sp macro="" textlink="Pivot!AB16">
      <xdr:nvSpPr>
        <xdr:cNvPr id="64" name="TextBox 63">
          <a:extLst>
            <a:ext uri="{FF2B5EF4-FFF2-40B4-BE49-F238E27FC236}">
              <a16:creationId xmlns:a16="http://schemas.microsoft.com/office/drawing/2014/main" id="{2521B2F8-EE1B-4DF8-B5A4-21EA5109CB44}"/>
            </a:ext>
          </a:extLst>
        </xdr:cNvPr>
        <xdr:cNvSpPr txBox="1"/>
      </xdr:nvSpPr>
      <xdr:spPr>
        <a:xfrm>
          <a:off x="8460191" y="5357311"/>
          <a:ext cx="489537"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78A10A-102B-4BE8-B8E3-5442993619CB}" type="TxLink">
            <a:rPr lang="en-US" sz="1600" b="1" i="0" u="none" strike="noStrike">
              <a:solidFill>
                <a:srgbClr val="FF0000"/>
              </a:solidFill>
              <a:latin typeface="Calibri"/>
              <a:cs typeface="Calibri"/>
            </a:rPr>
            <a:pPr/>
            <a:t>13</a:t>
          </a:fld>
          <a:endParaRPr lang="en-US" sz="1600" b="1">
            <a:solidFill>
              <a:srgbClr val="FF0000"/>
            </a:solidFill>
          </a:endParaRPr>
        </a:p>
      </xdr:txBody>
    </xdr:sp>
    <xdr:clientData/>
  </xdr:twoCellAnchor>
  <xdr:twoCellAnchor>
    <xdr:from>
      <xdr:col>15</xdr:col>
      <xdr:colOff>190500</xdr:colOff>
      <xdr:row>21</xdr:row>
      <xdr:rowOff>123825</xdr:rowOff>
    </xdr:from>
    <xdr:to>
      <xdr:col>19</xdr:col>
      <xdr:colOff>438150</xdr:colOff>
      <xdr:row>31</xdr:row>
      <xdr:rowOff>123825</xdr:rowOff>
    </xdr:to>
    <xdr:graphicFrame macro="">
      <xdr:nvGraphicFramePr>
        <xdr:cNvPr id="65" name="Chart 64">
          <a:extLst>
            <a:ext uri="{FF2B5EF4-FFF2-40B4-BE49-F238E27FC236}">
              <a16:creationId xmlns:a16="http://schemas.microsoft.com/office/drawing/2014/main" id="{8581A83D-ADF2-48C0-B80A-F09385582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123825</xdr:colOff>
      <xdr:row>4</xdr:row>
      <xdr:rowOff>123825</xdr:rowOff>
    </xdr:from>
    <xdr:to>
      <xdr:col>1</xdr:col>
      <xdr:colOff>600075</xdr:colOff>
      <xdr:row>17</xdr:row>
      <xdr:rowOff>171450</xdr:rowOff>
    </xdr:to>
    <mc:AlternateContent xmlns:mc="http://schemas.openxmlformats.org/markup-compatibility/2006" xmlns:a14="http://schemas.microsoft.com/office/drawing/2010/main">
      <mc:Choice Requires="a14">
        <xdr:graphicFrame macro="">
          <xdr:nvGraphicFramePr>
            <xdr:cNvPr id="66" name="Department">
              <a:extLst>
                <a:ext uri="{FF2B5EF4-FFF2-40B4-BE49-F238E27FC236}">
                  <a16:creationId xmlns:a16="http://schemas.microsoft.com/office/drawing/2014/main" id="{10E9AEF9-1D8E-48D0-B7AD-DF777FADFC8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825" y="885825"/>
              <a:ext cx="10858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18</xdr:row>
      <xdr:rowOff>28575</xdr:rowOff>
    </xdr:from>
    <xdr:to>
      <xdr:col>1</xdr:col>
      <xdr:colOff>600075</xdr:colOff>
      <xdr:row>31</xdr:row>
      <xdr:rowOff>76200</xdr:rowOff>
    </xdr:to>
    <mc:AlternateContent xmlns:mc="http://schemas.openxmlformats.org/markup-compatibility/2006" xmlns:a14="http://schemas.microsoft.com/office/drawing/2010/main">
      <mc:Choice Requires="a14">
        <xdr:graphicFrame macro="">
          <xdr:nvGraphicFramePr>
            <xdr:cNvPr id="67" name="Reporting Manager">
              <a:extLst>
                <a:ext uri="{FF2B5EF4-FFF2-40B4-BE49-F238E27FC236}">
                  <a16:creationId xmlns:a16="http://schemas.microsoft.com/office/drawing/2014/main" id="{4A79D13C-881F-4DE7-84BD-C0055E762892}"/>
                </a:ext>
              </a:extLst>
            </xdr:cNvPr>
            <xdr:cNvGraphicFramePr/>
          </xdr:nvGraphicFramePr>
          <xdr:xfrm>
            <a:off x="0" y="0"/>
            <a:ext cx="0" cy="0"/>
          </xdr:xfrm>
          <a:graphic>
            <a:graphicData uri="http://schemas.microsoft.com/office/drawing/2010/slicer">
              <sle:slicer xmlns:sle="http://schemas.microsoft.com/office/drawing/2010/slicer" name="Reporting Manager"/>
            </a:graphicData>
          </a:graphic>
        </xdr:graphicFrame>
      </mc:Choice>
      <mc:Fallback xmlns="">
        <xdr:sp macro="" textlink="">
          <xdr:nvSpPr>
            <xdr:cNvPr id="0" name=""/>
            <xdr:cNvSpPr>
              <a:spLocks noTextEdit="1"/>
            </xdr:cNvSpPr>
          </xdr:nvSpPr>
          <xdr:spPr>
            <a:xfrm>
              <a:off x="123825" y="3457575"/>
              <a:ext cx="10858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575744</xdr:colOff>
      <xdr:row>8</xdr:row>
      <xdr:rowOff>151736</xdr:rowOff>
    </xdr:from>
    <xdr:to>
      <xdr:col>6</xdr:col>
      <xdr:colOff>114300</xdr:colOff>
      <xdr:row>10</xdr:row>
      <xdr:rowOff>158381</xdr:rowOff>
    </xdr:to>
    <xdr:sp macro="" textlink="">
      <xdr:nvSpPr>
        <xdr:cNvPr id="68" name="TextBox 67">
          <a:extLst>
            <a:ext uri="{FF2B5EF4-FFF2-40B4-BE49-F238E27FC236}">
              <a16:creationId xmlns:a16="http://schemas.microsoft.com/office/drawing/2014/main" id="{2FA216A8-A454-A9E9-ED0E-5C4D9DACE0C9}"/>
            </a:ext>
          </a:extLst>
        </xdr:cNvPr>
        <xdr:cNvSpPr txBox="1"/>
      </xdr:nvSpPr>
      <xdr:spPr>
        <a:xfrm>
          <a:off x="2404544" y="1675736"/>
          <a:ext cx="1367356"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HC Growth </a:t>
          </a:r>
          <a:endParaRPr lang="en-US" sz="1800"/>
        </a:p>
      </xdr:txBody>
    </xdr:sp>
    <xdr:clientData/>
  </xdr:twoCellAnchor>
  <xdr:twoCellAnchor>
    <xdr:from>
      <xdr:col>16</xdr:col>
      <xdr:colOff>261419</xdr:colOff>
      <xdr:row>20</xdr:row>
      <xdr:rowOff>66011</xdr:rowOff>
    </xdr:from>
    <xdr:to>
      <xdr:col>18</xdr:col>
      <xdr:colOff>227306</xdr:colOff>
      <xdr:row>22</xdr:row>
      <xdr:rowOff>72656</xdr:rowOff>
    </xdr:to>
    <xdr:sp macro="" textlink="">
      <xdr:nvSpPr>
        <xdr:cNvPr id="69" name="TextBox 68">
          <a:extLst>
            <a:ext uri="{FF2B5EF4-FFF2-40B4-BE49-F238E27FC236}">
              <a16:creationId xmlns:a16="http://schemas.microsoft.com/office/drawing/2014/main" id="{7836B42A-81E3-C86B-5D06-B3A563DD0CDD}"/>
            </a:ext>
          </a:extLst>
        </xdr:cNvPr>
        <xdr:cNvSpPr txBox="1"/>
      </xdr:nvSpPr>
      <xdr:spPr>
        <a:xfrm>
          <a:off x="10015019" y="3876011"/>
          <a:ext cx="1185087"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Stability </a:t>
          </a:r>
          <a:endParaRPr lang="en-US" sz="1800"/>
        </a:p>
      </xdr:txBody>
    </xdr:sp>
    <xdr:clientData/>
  </xdr:twoCellAnchor>
  <xdr:twoCellAnchor>
    <xdr:from>
      <xdr:col>11</xdr:col>
      <xdr:colOff>347144</xdr:colOff>
      <xdr:row>20</xdr:row>
      <xdr:rowOff>85061</xdr:rowOff>
    </xdr:from>
    <xdr:to>
      <xdr:col>13</xdr:col>
      <xdr:colOff>313031</xdr:colOff>
      <xdr:row>22</xdr:row>
      <xdr:rowOff>91706</xdr:rowOff>
    </xdr:to>
    <xdr:sp macro="" textlink="">
      <xdr:nvSpPr>
        <xdr:cNvPr id="70" name="TextBox 69">
          <a:extLst>
            <a:ext uri="{FF2B5EF4-FFF2-40B4-BE49-F238E27FC236}">
              <a16:creationId xmlns:a16="http://schemas.microsoft.com/office/drawing/2014/main" id="{DCB8332E-9168-1CC0-50CB-28837E582F39}"/>
            </a:ext>
          </a:extLst>
        </xdr:cNvPr>
        <xdr:cNvSpPr txBox="1"/>
      </xdr:nvSpPr>
      <xdr:spPr>
        <a:xfrm>
          <a:off x="7052744" y="3895061"/>
          <a:ext cx="1185087"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Emp Type % </a:t>
          </a:r>
          <a:endParaRPr lang="en-US" sz="1800"/>
        </a:p>
      </xdr:txBody>
    </xdr:sp>
    <xdr:clientData/>
  </xdr:twoCellAnchor>
  <xdr:twoCellAnchor>
    <xdr:from>
      <xdr:col>7</xdr:col>
      <xdr:colOff>518594</xdr:colOff>
      <xdr:row>20</xdr:row>
      <xdr:rowOff>66011</xdr:rowOff>
    </xdr:from>
    <xdr:to>
      <xdr:col>10</xdr:col>
      <xdr:colOff>171450</xdr:colOff>
      <xdr:row>22</xdr:row>
      <xdr:rowOff>72656</xdr:rowOff>
    </xdr:to>
    <xdr:sp macro="" textlink="">
      <xdr:nvSpPr>
        <xdr:cNvPr id="71" name="TextBox 70">
          <a:extLst>
            <a:ext uri="{FF2B5EF4-FFF2-40B4-BE49-F238E27FC236}">
              <a16:creationId xmlns:a16="http://schemas.microsoft.com/office/drawing/2014/main" id="{E9B07987-9FD8-9CA3-C11B-3A5FE3BF8546}"/>
            </a:ext>
          </a:extLst>
        </xdr:cNvPr>
        <xdr:cNvSpPr txBox="1"/>
      </xdr:nvSpPr>
      <xdr:spPr>
        <a:xfrm>
          <a:off x="4785794" y="3876011"/>
          <a:ext cx="1481656"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HC Reporting </a:t>
          </a:r>
          <a:endParaRPr lang="en-US" sz="1800"/>
        </a:p>
      </xdr:txBody>
    </xdr:sp>
    <xdr:clientData/>
  </xdr:twoCellAnchor>
  <xdr:twoCellAnchor>
    <xdr:from>
      <xdr:col>3</xdr:col>
      <xdr:colOff>51869</xdr:colOff>
      <xdr:row>20</xdr:row>
      <xdr:rowOff>113636</xdr:rowOff>
    </xdr:from>
    <xdr:to>
      <xdr:col>5</xdr:col>
      <xdr:colOff>323850</xdr:colOff>
      <xdr:row>22</xdr:row>
      <xdr:rowOff>120281</xdr:rowOff>
    </xdr:to>
    <xdr:sp macro="" textlink="">
      <xdr:nvSpPr>
        <xdr:cNvPr id="72" name="TextBox 71">
          <a:extLst>
            <a:ext uri="{FF2B5EF4-FFF2-40B4-BE49-F238E27FC236}">
              <a16:creationId xmlns:a16="http://schemas.microsoft.com/office/drawing/2014/main" id="{A9B9F8B5-1ADA-4DEB-9E8C-3DA1A18B39F3}"/>
            </a:ext>
          </a:extLst>
        </xdr:cNvPr>
        <xdr:cNvSpPr txBox="1"/>
      </xdr:nvSpPr>
      <xdr:spPr>
        <a:xfrm>
          <a:off x="1880669" y="3923636"/>
          <a:ext cx="1491181"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Dept by HC % </a:t>
          </a:r>
          <a:endParaRPr lang="en-US" sz="1800"/>
        </a:p>
      </xdr:txBody>
    </xdr:sp>
    <xdr:clientData/>
  </xdr:twoCellAnchor>
  <xdr:twoCellAnchor>
    <xdr:from>
      <xdr:col>15</xdr:col>
      <xdr:colOff>223319</xdr:colOff>
      <xdr:row>8</xdr:row>
      <xdr:rowOff>75536</xdr:rowOff>
    </xdr:from>
    <xdr:to>
      <xdr:col>17</xdr:col>
      <xdr:colOff>189206</xdr:colOff>
      <xdr:row>10</xdr:row>
      <xdr:rowOff>82181</xdr:rowOff>
    </xdr:to>
    <xdr:sp macro="" textlink="">
      <xdr:nvSpPr>
        <xdr:cNvPr id="73" name="TextBox 72">
          <a:extLst>
            <a:ext uri="{FF2B5EF4-FFF2-40B4-BE49-F238E27FC236}">
              <a16:creationId xmlns:a16="http://schemas.microsoft.com/office/drawing/2014/main" id="{93C642FC-A335-7D04-06A8-126A1F7F1654}"/>
            </a:ext>
          </a:extLst>
        </xdr:cNvPr>
        <xdr:cNvSpPr txBox="1"/>
      </xdr:nvSpPr>
      <xdr:spPr>
        <a:xfrm>
          <a:off x="9367319" y="1599536"/>
          <a:ext cx="1185087"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Job Level </a:t>
          </a:r>
          <a:endParaRPr lang="en-US" sz="1800"/>
        </a:p>
      </xdr:txBody>
    </xdr:sp>
    <xdr:clientData/>
  </xdr:twoCellAnchor>
  <xdr:twoCellAnchor>
    <xdr:from>
      <xdr:col>9</xdr:col>
      <xdr:colOff>432869</xdr:colOff>
      <xdr:row>8</xdr:row>
      <xdr:rowOff>142211</xdr:rowOff>
    </xdr:from>
    <xdr:to>
      <xdr:col>11</xdr:col>
      <xdr:colOff>552450</xdr:colOff>
      <xdr:row>10</xdr:row>
      <xdr:rowOff>148856</xdr:rowOff>
    </xdr:to>
    <xdr:sp macro="" textlink="">
      <xdr:nvSpPr>
        <xdr:cNvPr id="74" name="TextBox 73">
          <a:extLst>
            <a:ext uri="{FF2B5EF4-FFF2-40B4-BE49-F238E27FC236}">
              <a16:creationId xmlns:a16="http://schemas.microsoft.com/office/drawing/2014/main" id="{8889DE29-279C-744C-89C0-1959D43C73EB}"/>
            </a:ext>
          </a:extLst>
        </xdr:cNvPr>
        <xdr:cNvSpPr txBox="1"/>
      </xdr:nvSpPr>
      <xdr:spPr>
        <a:xfrm>
          <a:off x="5919269" y="1666211"/>
          <a:ext cx="1338781" cy="38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Diversity %</a:t>
          </a:r>
          <a:endParaRPr lang="en-US" sz="18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HIKWADO\Desktop\All%20Folders\Data%20Analytics\Excel%20&amp;%20Power%20Bi%20real%20life%20project\Project%205\HR%20Analysis%202.xlsx" TargetMode="External"/><Relationship Id="rId1" Type="http://schemas.openxmlformats.org/officeDocument/2006/relationships/externalLinkPath" Target="HR%20Analysi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Dashboard"/>
      <sheetName val="Data"/>
    </sheetNames>
    <sheetDataSet>
      <sheetData sheetId="0">
        <row r="16">
          <cell r="AE16" t="str">
            <v>HC</v>
          </cell>
          <cell r="AF16" t="str">
            <v>HC%</v>
          </cell>
        </row>
        <row r="17">
          <cell r="AD17" t="str">
            <v>5+ years</v>
          </cell>
          <cell r="AE17">
            <v>22</v>
          </cell>
          <cell r="AF17">
            <v>0.1864406779661017</v>
          </cell>
        </row>
        <row r="18">
          <cell r="AD18" t="str">
            <v>4+ years</v>
          </cell>
          <cell r="AE18">
            <v>13</v>
          </cell>
          <cell r="AF18">
            <v>0.11016949152542373</v>
          </cell>
        </row>
        <row r="19">
          <cell r="AD19" t="str">
            <v>3+ years</v>
          </cell>
          <cell r="AE19">
            <v>19</v>
          </cell>
          <cell r="AF19">
            <v>0.16101694915254236</v>
          </cell>
        </row>
        <row r="20">
          <cell r="AD20" t="str">
            <v>2+ years</v>
          </cell>
          <cell r="AE20">
            <v>20</v>
          </cell>
          <cell r="AF20">
            <v>0.16949152542372881</v>
          </cell>
        </row>
        <row r="21">
          <cell r="AD21" t="str">
            <v>1+ years</v>
          </cell>
          <cell r="AE21">
            <v>35</v>
          </cell>
          <cell r="AF21">
            <v>0.29661016949152541</v>
          </cell>
        </row>
        <row r="22">
          <cell r="AD22" t="str">
            <v>&lt;1 year</v>
          </cell>
          <cell r="AE22">
            <v>9</v>
          </cell>
          <cell r="AF22">
            <v>7.6271186440677971E-2</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KWADO" refreshedDate="46250.432842824077" createdVersion="8" refreshedVersion="8" minRefreshableVersion="3" recordCount="171" xr:uid="{2D115217-AE3B-4C12-9F48-B3C017B288F1}">
  <cacheSource type="worksheet">
    <worksheetSource ref="A1:P172" sheet="Data"/>
  </cacheSource>
  <cacheFields count="16">
    <cacheField name="Emp Status" numFmtId="0">
      <sharedItems count="3">
        <s v="On-Board"/>
        <s v="Attrition"/>
        <s v="Transfer"/>
      </sharedItems>
    </cacheField>
    <cacheField name="Movement" numFmtId="0">
      <sharedItems containsBlank="1"/>
    </cacheField>
    <cacheField name="Emp Id" numFmtId="0">
      <sharedItems containsMixedTypes="1" containsNumber="1" containsInteger="1" minValue="100957" maxValue="198396"/>
    </cacheField>
    <cacheField name="Name" numFmtId="0">
      <sharedItems/>
    </cacheField>
    <cacheField name="Date of Joining" numFmtId="164">
      <sharedItems containsSemiMixedTypes="0" containsNonDate="0" containsDate="1" containsString="0" minDate="2020-02-06T00:00:00" maxDate="2025-07-20T00:00:00"/>
    </cacheField>
    <cacheField name="Data of Relieving" numFmtId="164">
      <sharedItems containsNonDate="0" containsDate="1" containsString="0" containsBlank="1" minDate="2020-12-18T00:00:00" maxDate="2024-09-30T00:00:00"/>
    </cacheField>
    <cacheField name="Reporting Manager" numFmtId="0">
      <sharedItems count="7">
        <s v="Roberta Moyer"/>
        <s v="Ryan Simmons"/>
        <s v="Darryl Leon"/>
        <s v="Geneva Hardy"/>
        <s v="Janelle Wiley"/>
        <s v="Alejandra Mack"/>
        <s v="Jefferson Perry"/>
      </sharedItems>
    </cacheField>
    <cacheField name="Emp Type" numFmtId="0">
      <sharedItems count="2">
        <s v="Contract"/>
        <s v="Permanent"/>
      </sharedItems>
    </cacheField>
    <cacheField name="Category" numFmtId="0">
      <sharedItems count="2">
        <s v="Male"/>
        <s v="Female"/>
      </sharedItems>
    </cacheField>
    <cacheField name="Date of Birth" numFmtId="165">
      <sharedItems containsSemiMixedTypes="0" containsNonDate="0" containsDate="1" containsString="0" minDate="1982-01-03T00:00:00" maxDate="2023-08-07T00:00:00"/>
    </cacheField>
    <cacheField name="Marital status" numFmtId="165">
      <sharedItems/>
    </cacheField>
    <cacheField name="Grade" numFmtId="0">
      <sharedItems count="4">
        <s v="Contract"/>
        <s v="Trainees"/>
        <s v="Management"/>
        <s v="Professional"/>
      </sharedItems>
    </cacheField>
    <cacheField name="Department" numFmtId="0">
      <sharedItems count="7">
        <s v="Operations"/>
        <s v="Accounting"/>
        <s v="Legal"/>
        <s v="Marketing"/>
        <s v="Finance"/>
        <s v="HR"/>
        <s v="Sales"/>
      </sharedItems>
    </cacheField>
    <cacheField name="Total Experience" numFmtId="0">
      <sharedItems containsSemiMixedTypes="0" containsString="0" containsNumber="1" minValue="0" maxValue="19"/>
    </cacheField>
    <cacheField name="Year" numFmtId="0">
      <sharedItems containsSemiMixedTypes="0" containsString="0" containsNumber="1" containsInteger="1" minValue="2020" maxValue="2025" count="6">
        <n v="2020"/>
        <n v="2021"/>
        <n v="2022"/>
        <n v="2023"/>
        <n v="2024"/>
        <n v="2025"/>
      </sharedItems>
    </cacheField>
    <cacheField name="Stability" numFmtId="0">
      <sharedItems count="6">
        <s v="5+ years"/>
        <s v="4+ years"/>
        <s v="3+ years"/>
        <s v="2+ years"/>
        <s v="1+ years"/>
        <s v="&lt;1 year"/>
      </sharedItems>
    </cacheField>
  </cacheFields>
  <extLst>
    <ext xmlns:x14="http://schemas.microsoft.com/office/spreadsheetml/2009/9/main" uri="{725AE2AE-9491-48be-B2B4-4EB974FC3084}">
      <x14:pivotCacheDefinition pivotCacheId="2115717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x v="0"/>
    <s v="IJP"/>
    <s v="CT18807"/>
    <s v="Adrian Odonnell"/>
    <d v="2020-04-29T00:00:00"/>
    <m/>
    <x v="0"/>
    <x v="0"/>
    <x v="0"/>
    <d v="2021-07-13T00:00:00"/>
    <s v="Single"/>
    <x v="0"/>
    <x v="0"/>
    <n v="0"/>
    <x v="0"/>
    <x v="0"/>
  </r>
  <r>
    <x v="1"/>
    <m/>
    <s v="CT12674"/>
    <s v="Marina Velazquez"/>
    <d v="2020-09-01T00:00:00"/>
    <d v="2020-12-18T00:00:00"/>
    <x v="0"/>
    <x v="0"/>
    <x v="0"/>
    <d v="2021-10-03T00:00:00"/>
    <s v="Married"/>
    <x v="1"/>
    <x v="1"/>
    <n v="6.5"/>
    <x v="0"/>
    <x v="0"/>
  </r>
  <r>
    <x v="0"/>
    <m/>
    <s v="CT11735"/>
    <s v="Regina Schaefer"/>
    <d v="2021-01-01T00:00:00"/>
    <m/>
    <x v="0"/>
    <x v="0"/>
    <x v="0"/>
    <d v="2021-02-09T00:00:00"/>
    <s v="Single"/>
    <x v="0"/>
    <x v="0"/>
    <n v="4.8"/>
    <x v="1"/>
    <x v="1"/>
  </r>
  <r>
    <x v="0"/>
    <m/>
    <s v="CT10131"/>
    <s v="Donna Sparks"/>
    <d v="2021-02-09T00:00:00"/>
    <m/>
    <x v="0"/>
    <x v="0"/>
    <x v="0"/>
    <d v="2021-03-14T00:00:00"/>
    <s v="Single"/>
    <x v="0"/>
    <x v="2"/>
    <n v="14"/>
    <x v="1"/>
    <x v="1"/>
  </r>
  <r>
    <x v="1"/>
    <m/>
    <s v="CT16953"/>
    <s v="Sal Glass"/>
    <d v="2021-09-30T00:00:00"/>
    <d v="2022-09-30T00:00:00"/>
    <x v="1"/>
    <x v="0"/>
    <x v="1"/>
    <d v="2021-04-11T00:00:00"/>
    <s v="Single"/>
    <x v="0"/>
    <x v="3"/>
    <n v="0"/>
    <x v="1"/>
    <x v="1"/>
  </r>
  <r>
    <x v="1"/>
    <m/>
    <s v="CT11213"/>
    <s v="Malik Schneider"/>
    <d v="2022-04-04T00:00:00"/>
    <d v="2022-07-16T00:00:00"/>
    <x v="2"/>
    <x v="0"/>
    <x v="0"/>
    <d v="2021-08-23T00:00:00"/>
    <s v="Single"/>
    <x v="0"/>
    <x v="4"/>
    <n v="2"/>
    <x v="2"/>
    <x v="2"/>
  </r>
  <r>
    <x v="1"/>
    <m/>
    <s v="CT17933"/>
    <s v="Fanny Hampton"/>
    <d v="2022-06-03T00:00:00"/>
    <d v="2023-01-25T00:00:00"/>
    <x v="1"/>
    <x v="0"/>
    <x v="0"/>
    <d v="2021-01-30T00:00:00"/>
    <s v="Single"/>
    <x v="0"/>
    <x v="3"/>
    <n v="2.8"/>
    <x v="2"/>
    <x v="2"/>
  </r>
  <r>
    <x v="1"/>
    <m/>
    <s v="CT17253"/>
    <s v="Edison York"/>
    <d v="2022-06-09T00:00:00"/>
    <d v="2023-08-11T00:00:00"/>
    <x v="1"/>
    <x v="0"/>
    <x v="0"/>
    <d v="2021-10-28T00:00:00"/>
    <s v="Single"/>
    <x v="0"/>
    <x v="5"/>
    <n v="0"/>
    <x v="2"/>
    <x v="2"/>
  </r>
  <r>
    <x v="1"/>
    <m/>
    <s v="CT14693"/>
    <s v="Geraldo Pugh"/>
    <d v="2022-07-07T00:00:00"/>
    <d v="2023-08-30T00:00:00"/>
    <x v="3"/>
    <x v="0"/>
    <x v="0"/>
    <d v="2021-12-26T00:00:00"/>
    <s v="Single"/>
    <x v="0"/>
    <x v="5"/>
    <n v="3"/>
    <x v="2"/>
    <x v="2"/>
  </r>
  <r>
    <x v="1"/>
    <m/>
    <s v="CT11465"/>
    <s v="Ellis Best"/>
    <d v="2022-08-04T00:00:00"/>
    <d v="2023-05-13T00:00:00"/>
    <x v="1"/>
    <x v="0"/>
    <x v="0"/>
    <d v="2021-04-07T00:00:00"/>
    <s v="Single"/>
    <x v="0"/>
    <x v="2"/>
    <n v="5.9"/>
    <x v="2"/>
    <x v="2"/>
  </r>
  <r>
    <x v="0"/>
    <m/>
    <s v="CT12948"/>
    <s v="Olen Walter"/>
    <d v="2022-09-01T00:00:00"/>
    <m/>
    <x v="4"/>
    <x v="0"/>
    <x v="0"/>
    <d v="2021-10-18T00:00:00"/>
    <s v="Married"/>
    <x v="0"/>
    <x v="4"/>
    <n v="10"/>
    <x v="2"/>
    <x v="2"/>
  </r>
  <r>
    <x v="1"/>
    <m/>
    <s v="CT11145"/>
    <s v="Mckinley Baird"/>
    <d v="2022-09-08T00:00:00"/>
    <d v="2023-12-30T00:00:00"/>
    <x v="4"/>
    <x v="0"/>
    <x v="1"/>
    <d v="2021-04-26T00:00:00"/>
    <s v="Single"/>
    <x v="0"/>
    <x v="3"/>
    <n v="1"/>
    <x v="2"/>
    <x v="2"/>
  </r>
  <r>
    <x v="0"/>
    <m/>
    <s v="CT18269"/>
    <s v="Maura Huynh"/>
    <d v="2022-11-08T00:00:00"/>
    <m/>
    <x v="4"/>
    <x v="0"/>
    <x v="0"/>
    <d v="2021-10-27T00:00:00"/>
    <s v="Married"/>
    <x v="0"/>
    <x v="6"/>
    <n v="10"/>
    <x v="2"/>
    <x v="2"/>
  </r>
  <r>
    <x v="1"/>
    <m/>
    <s v="CT13931"/>
    <s v="Buster Joyce"/>
    <d v="2023-01-21T00:00:00"/>
    <d v="2023-11-21T00:00:00"/>
    <x v="5"/>
    <x v="0"/>
    <x v="0"/>
    <d v="2021-09-06T00:00:00"/>
    <s v="Single"/>
    <x v="0"/>
    <x v="3"/>
    <n v="0"/>
    <x v="3"/>
    <x v="3"/>
  </r>
  <r>
    <x v="1"/>
    <m/>
    <s v="CT15252"/>
    <s v="Rosanna Bauer"/>
    <d v="2023-06-06T00:00:00"/>
    <d v="2024-05-03T00:00:00"/>
    <x v="5"/>
    <x v="0"/>
    <x v="1"/>
    <d v="2022-02-28T00:00:00"/>
    <s v="Single"/>
    <x v="0"/>
    <x v="5"/>
    <n v="0.1"/>
    <x v="3"/>
    <x v="3"/>
  </r>
  <r>
    <x v="0"/>
    <m/>
    <s v="CT13664"/>
    <s v="Marion Harmon"/>
    <d v="2023-10-19T00:00:00"/>
    <m/>
    <x v="5"/>
    <x v="0"/>
    <x v="1"/>
    <d v="2022-09-26T00:00:00"/>
    <s v="Single"/>
    <x v="0"/>
    <x v="5"/>
    <n v="0"/>
    <x v="3"/>
    <x v="3"/>
  </r>
  <r>
    <x v="0"/>
    <m/>
    <s v="CT10043"/>
    <s v="Shawn Ross"/>
    <d v="2023-12-14T00:00:00"/>
    <m/>
    <x v="5"/>
    <x v="0"/>
    <x v="1"/>
    <d v="2022-11-12T00:00:00"/>
    <s v="Single"/>
    <x v="0"/>
    <x v="2"/>
    <n v="4"/>
    <x v="3"/>
    <x v="4"/>
  </r>
  <r>
    <x v="0"/>
    <m/>
    <s v="CT16547"/>
    <s v="Houston Wilson"/>
    <d v="2024-02-06T00:00:00"/>
    <m/>
    <x v="0"/>
    <x v="0"/>
    <x v="0"/>
    <d v="2021-12-28T00:00:00"/>
    <s v="Single"/>
    <x v="0"/>
    <x v="5"/>
    <n v="0"/>
    <x v="4"/>
    <x v="4"/>
  </r>
  <r>
    <x v="0"/>
    <m/>
    <s v="CT11188"/>
    <s v="Maricela Gates"/>
    <d v="2024-03-27T00:00:00"/>
    <m/>
    <x v="5"/>
    <x v="0"/>
    <x v="0"/>
    <d v="2003-03-06T00:00:00"/>
    <s v="Married"/>
    <x v="0"/>
    <x v="3"/>
    <n v="10"/>
    <x v="4"/>
    <x v="4"/>
  </r>
  <r>
    <x v="0"/>
    <m/>
    <s v="CT14537"/>
    <s v="Fletcher Tate"/>
    <d v="2024-06-01T00:00:00"/>
    <m/>
    <x v="5"/>
    <x v="0"/>
    <x v="1"/>
    <d v="2022-12-03T00:00:00"/>
    <s v="Married"/>
    <x v="0"/>
    <x v="2"/>
    <n v="4"/>
    <x v="4"/>
    <x v="4"/>
  </r>
  <r>
    <x v="0"/>
    <m/>
    <s v="CT14690"/>
    <s v="Emily Davis"/>
    <d v="2025-01-05T00:00:00"/>
    <m/>
    <x v="6"/>
    <x v="0"/>
    <x v="1"/>
    <d v="2021-05-22T00:00:00"/>
    <s v="Married"/>
    <x v="0"/>
    <x v="4"/>
    <n v="4.8"/>
    <x v="5"/>
    <x v="5"/>
  </r>
  <r>
    <x v="0"/>
    <m/>
    <s v="CT16195"/>
    <s v="Penelope Jordan"/>
    <d v="2025-01-14T00:00:00"/>
    <m/>
    <x v="6"/>
    <x v="0"/>
    <x v="0"/>
    <d v="2021-02-09T00:00:00"/>
    <s v="Single"/>
    <x v="0"/>
    <x v="0"/>
    <n v="9"/>
    <x v="5"/>
    <x v="5"/>
  </r>
  <r>
    <x v="0"/>
    <m/>
    <s v="CT16735"/>
    <s v="Alfredo Mcclain"/>
    <d v="2025-04-28T00:00:00"/>
    <m/>
    <x v="1"/>
    <x v="0"/>
    <x v="0"/>
    <d v="2021-12-06T00:00:00"/>
    <s v="Married"/>
    <x v="0"/>
    <x v="3"/>
    <n v="8"/>
    <x v="5"/>
    <x v="5"/>
  </r>
  <r>
    <x v="0"/>
    <s v="IJP"/>
    <n v="107224"/>
    <s v="Preston Case"/>
    <d v="2020-02-06T00:00:00"/>
    <m/>
    <x v="0"/>
    <x v="1"/>
    <x v="0"/>
    <d v="2021-08-25T00:00:00"/>
    <s v="Single"/>
    <x v="1"/>
    <x v="0"/>
    <n v="13"/>
    <x v="0"/>
    <x v="0"/>
  </r>
  <r>
    <x v="1"/>
    <s v="IJP"/>
    <n v="148467"/>
    <s v="Branden Kaiser"/>
    <d v="2020-02-08T00:00:00"/>
    <d v="2024-06-30T00:00:00"/>
    <x v="6"/>
    <x v="1"/>
    <x v="1"/>
    <d v="2021-10-25T00:00:00"/>
    <s v="Single"/>
    <x v="1"/>
    <x v="1"/>
    <n v="5"/>
    <x v="0"/>
    <x v="0"/>
  </r>
  <r>
    <x v="1"/>
    <m/>
    <n v="114416"/>
    <s v="Julia Bell"/>
    <d v="2020-02-13T00:00:00"/>
    <d v="2024-01-09T00:00:00"/>
    <x v="5"/>
    <x v="1"/>
    <x v="0"/>
    <d v="2021-11-24T00:00:00"/>
    <s v="Married"/>
    <x v="2"/>
    <x v="4"/>
    <n v="8"/>
    <x v="0"/>
    <x v="0"/>
  </r>
  <r>
    <x v="0"/>
    <m/>
    <n v="189095"/>
    <s v="Sammy Hancock"/>
    <d v="2020-02-26T00:00:00"/>
    <m/>
    <x v="5"/>
    <x v="1"/>
    <x v="0"/>
    <d v="2021-11-04T00:00:00"/>
    <s v="Single"/>
    <x v="2"/>
    <x v="0"/>
    <n v="17"/>
    <x v="0"/>
    <x v="0"/>
  </r>
  <r>
    <x v="1"/>
    <m/>
    <n v="123874"/>
    <s v="Mabel Cuevas"/>
    <d v="2020-03-11T00:00:00"/>
    <d v="2021-12-30T00:00:00"/>
    <x v="5"/>
    <x v="1"/>
    <x v="0"/>
    <d v="2021-12-28T00:00:00"/>
    <s v="Married"/>
    <x v="1"/>
    <x v="1"/>
    <n v="14"/>
    <x v="0"/>
    <x v="0"/>
  </r>
  <r>
    <x v="0"/>
    <s v="IJP"/>
    <n v="147637"/>
    <s v="Janelle Wiley"/>
    <d v="2020-03-26T00:00:00"/>
    <m/>
    <x v="0"/>
    <x v="1"/>
    <x v="0"/>
    <d v="2021-04-28T00:00:00"/>
    <s v="Single"/>
    <x v="1"/>
    <x v="4"/>
    <n v="14"/>
    <x v="0"/>
    <x v="0"/>
  </r>
  <r>
    <x v="0"/>
    <s v="IJP"/>
    <n v="183900"/>
    <s v="Norris Madden"/>
    <d v="2020-04-29T00:00:00"/>
    <m/>
    <x v="5"/>
    <x v="1"/>
    <x v="0"/>
    <d v="2021-04-23T00:00:00"/>
    <s v="Single"/>
    <x v="2"/>
    <x v="1"/>
    <n v="13"/>
    <x v="0"/>
    <x v="0"/>
  </r>
  <r>
    <x v="0"/>
    <m/>
    <n v="110700"/>
    <s v="Vincenzo Mcdowell"/>
    <d v="2020-05-20T00:00:00"/>
    <m/>
    <x v="5"/>
    <x v="1"/>
    <x v="0"/>
    <d v="2021-04-21T00:00:00"/>
    <s v="Single"/>
    <x v="2"/>
    <x v="4"/>
    <n v="13"/>
    <x v="0"/>
    <x v="0"/>
  </r>
  <r>
    <x v="0"/>
    <s v="IJP"/>
    <n v="188035"/>
    <s v="Chris Mcbride"/>
    <d v="2020-06-12T00:00:00"/>
    <m/>
    <x v="4"/>
    <x v="1"/>
    <x v="0"/>
    <d v="2022-08-08T00:00:00"/>
    <s v="Single"/>
    <x v="1"/>
    <x v="0"/>
    <n v="7"/>
    <x v="0"/>
    <x v="0"/>
  </r>
  <r>
    <x v="0"/>
    <m/>
    <n v="131049"/>
    <s v="Wesley Berger"/>
    <d v="2020-06-18T00:00:00"/>
    <m/>
    <x v="5"/>
    <x v="1"/>
    <x v="0"/>
    <d v="2021-12-31T00:00:00"/>
    <s v="Single"/>
    <x v="2"/>
    <x v="0"/>
    <n v="13"/>
    <x v="0"/>
    <x v="0"/>
  </r>
  <r>
    <x v="1"/>
    <m/>
    <n v="180582"/>
    <s v="Bart Sims"/>
    <d v="2020-06-26T00:00:00"/>
    <d v="2021-06-30T00:00:00"/>
    <x v="4"/>
    <x v="1"/>
    <x v="1"/>
    <d v="2021-05-27T00:00:00"/>
    <s v="Single"/>
    <x v="3"/>
    <x v="1"/>
    <n v="0"/>
    <x v="0"/>
    <x v="0"/>
  </r>
  <r>
    <x v="0"/>
    <m/>
    <n v="126718"/>
    <s v="Tricia Arroyo"/>
    <d v="2020-07-08T00:00:00"/>
    <m/>
    <x v="5"/>
    <x v="1"/>
    <x v="0"/>
    <d v="2021-10-03T00:00:00"/>
    <s v="Single"/>
    <x v="1"/>
    <x v="1"/>
    <n v="6.5"/>
    <x v="0"/>
    <x v="0"/>
  </r>
  <r>
    <x v="0"/>
    <m/>
    <n v="192425"/>
    <s v="Kennith Barber"/>
    <d v="2020-07-24T00:00:00"/>
    <m/>
    <x v="0"/>
    <x v="1"/>
    <x v="0"/>
    <d v="2021-05-22T00:00:00"/>
    <s v="Single"/>
    <x v="1"/>
    <x v="4"/>
    <n v="8"/>
    <x v="0"/>
    <x v="0"/>
  </r>
  <r>
    <x v="0"/>
    <m/>
    <n v="174008"/>
    <s v="Alonzo Harrison"/>
    <d v="2020-07-31T00:00:00"/>
    <m/>
    <x v="4"/>
    <x v="1"/>
    <x v="1"/>
    <d v="2021-12-10T00:00:00"/>
    <s v="Single"/>
    <x v="1"/>
    <x v="1"/>
    <n v="12"/>
    <x v="0"/>
    <x v="0"/>
  </r>
  <r>
    <x v="1"/>
    <m/>
    <n v="129735"/>
    <s v="Ryan Simmons"/>
    <d v="2020-08-14T00:00:00"/>
    <d v="2022-06-29T00:00:00"/>
    <x v="5"/>
    <x v="1"/>
    <x v="0"/>
    <d v="2021-01-15T00:00:00"/>
    <s v="Single"/>
    <x v="1"/>
    <x v="0"/>
    <n v="5"/>
    <x v="0"/>
    <x v="0"/>
  </r>
  <r>
    <x v="1"/>
    <m/>
    <n v="117328"/>
    <s v="Kirk Wagner"/>
    <d v="2020-08-26T00:00:00"/>
    <d v="2022-04-30T00:00:00"/>
    <x v="5"/>
    <x v="1"/>
    <x v="0"/>
    <d v="2021-02-09T00:00:00"/>
    <s v="Married"/>
    <x v="1"/>
    <x v="0"/>
    <n v="4.8"/>
    <x v="0"/>
    <x v="0"/>
  </r>
  <r>
    <x v="0"/>
    <m/>
    <n v="110646"/>
    <s v="Zackary Tucker"/>
    <d v="2020-09-01T00:00:00"/>
    <m/>
    <x v="3"/>
    <x v="1"/>
    <x v="0"/>
    <d v="2021-01-20T00:00:00"/>
    <s v="Married"/>
    <x v="1"/>
    <x v="4"/>
    <n v="9"/>
    <x v="0"/>
    <x v="0"/>
  </r>
  <r>
    <x v="0"/>
    <m/>
    <n v="114446"/>
    <s v="Roberto Ford"/>
    <d v="2020-09-01T00:00:00"/>
    <m/>
    <x v="6"/>
    <x v="1"/>
    <x v="0"/>
    <d v="2021-11-24T00:00:00"/>
    <s v="Married"/>
    <x v="2"/>
    <x v="4"/>
    <n v="8"/>
    <x v="0"/>
    <x v="0"/>
  </r>
  <r>
    <x v="0"/>
    <m/>
    <n v="189125"/>
    <s v="Sadie Mcmahon"/>
    <d v="2020-09-01T00:00:00"/>
    <m/>
    <x v="1"/>
    <x v="1"/>
    <x v="0"/>
    <d v="2021-11-04T00:00:00"/>
    <s v="Married"/>
    <x v="2"/>
    <x v="0"/>
    <n v="17"/>
    <x v="0"/>
    <x v="0"/>
  </r>
  <r>
    <x v="0"/>
    <s v="IJP"/>
    <n v="183930"/>
    <s v="Darla Parks"/>
    <d v="2020-09-01T00:00:00"/>
    <m/>
    <x v="1"/>
    <x v="1"/>
    <x v="0"/>
    <d v="2021-04-23T00:00:00"/>
    <s v="Married"/>
    <x v="2"/>
    <x v="1"/>
    <n v="13"/>
    <x v="0"/>
    <x v="0"/>
  </r>
  <r>
    <x v="0"/>
    <m/>
    <n v="110730"/>
    <s v="Darryl Leon"/>
    <d v="2020-09-01T00:00:00"/>
    <m/>
    <x v="2"/>
    <x v="1"/>
    <x v="0"/>
    <d v="2021-04-21T00:00:00"/>
    <s v="Single"/>
    <x v="2"/>
    <x v="4"/>
    <n v="13"/>
    <x v="0"/>
    <x v="0"/>
  </r>
  <r>
    <x v="0"/>
    <m/>
    <n v="131079"/>
    <s v="Letitia Church"/>
    <d v="2020-09-01T00:00:00"/>
    <m/>
    <x v="0"/>
    <x v="1"/>
    <x v="0"/>
    <d v="2021-12-31T00:00:00"/>
    <s v="Single"/>
    <x v="2"/>
    <x v="0"/>
    <n v="13"/>
    <x v="0"/>
    <x v="0"/>
  </r>
  <r>
    <x v="0"/>
    <m/>
    <n v="180612"/>
    <s v="Collin Paul"/>
    <d v="2020-09-01T00:00:00"/>
    <m/>
    <x v="4"/>
    <x v="1"/>
    <x v="1"/>
    <d v="2021-05-27T00:00:00"/>
    <s v="Single"/>
    <x v="3"/>
    <x v="1"/>
    <n v="0"/>
    <x v="0"/>
    <x v="0"/>
  </r>
  <r>
    <x v="1"/>
    <m/>
    <n v="154702"/>
    <s v="Frances Leblanc"/>
    <d v="2020-09-09T00:00:00"/>
    <d v="2024-01-20T00:00:00"/>
    <x v="5"/>
    <x v="1"/>
    <x v="1"/>
    <d v="2021-11-07T00:00:00"/>
    <s v="Married"/>
    <x v="3"/>
    <x v="0"/>
    <n v="0"/>
    <x v="0"/>
    <x v="0"/>
  </r>
  <r>
    <x v="0"/>
    <m/>
    <n v="101286"/>
    <s v="Alexis Conway"/>
    <d v="2020-09-09T00:00:00"/>
    <m/>
    <x v="5"/>
    <x v="1"/>
    <x v="0"/>
    <d v="2021-03-14T00:00:00"/>
    <s v="Single"/>
    <x v="2"/>
    <x v="2"/>
    <n v="14"/>
    <x v="0"/>
    <x v="0"/>
  </r>
  <r>
    <x v="1"/>
    <m/>
    <n v="137383"/>
    <s v="Roberta Moyer"/>
    <d v="2020-09-16T00:00:00"/>
    <d v="2021-03-03T00:00:00"/>
    <x v="3"/>
    <x v="1"/>
    <x v="0"/>
    <d v="2021-01-24T00:00:00"/>
    <s v="Single"/>
    <x v="2"/>
    <x v="0"/>
    <n v="9"/>
    <x v="0"/>
    <x v="0"/>
  </r>
  <r>
    <x v="1"/>
    <m/>
    <n v="185704"/>
    <s v="Alejandra Mack"/>
    <d v="2020-09-16T00:00:00"/>
    <d v="2021-07-18T00:00:00"/>
    <x v="4"/>
    <x v="1"/>
    <x v="0"/>
    <d v="2021-12-06T00:00:00"/>
    <s v="Single"/>
    <x v="3"/>
    <x v="5"/>
    <n v="0"/>
    <x v="0"/>
    <x v="0"/>
  </r>
  <r>
    <x v="1"/>
    <m/>
    <n v="151727"/>
    <s v="Chi Preston"/>
    <d v="2020-09-16T00:00:00"/>
    <d v="2023-06-29T00:00:00"/>
    <x v="4"/>
    <x v="1"/>
    <x v="0"/>
    <d v="2021-02-03T00:00:00"/>
    <s v="Single"/>
    <x v="3"/>
    <x v="5"/>
    <n v="0"/>
    <x v="0"/>
    <x v="0"/>
  </r>
  <r>
    <x v="1"/>
    <m/>
    <n v="135167"/>
    <s v="Randolph Reilly"/>
    <d v="2020-09-16T00:00:00"/>
    <d v="2023-09-26T00:00:00"/>
    <x v="4"/>
    <x v="1"/>
    <x v="0"/>
    <d v="2021-03-28T00:00:00"/>
    <s v="Single"/>
    <x v="3"/>
    <x v="5"/>
    <n v="0"/>
    <x v="0"/>
    <x v="0"/>
  </r>
  <r>
    <x v="1"/>
    <m/>
    <n v="100971"/>
    <s v="Howard Wiggins"/>
    <d v="2020-09-16T00:00:00"/>
    <d v="2023-12-23T00:00:00"/>
    <x v="4"/>
    <x v="1"/>
    <x v="0"/>
    <d v="2021-09-08T00:00:00"/>
    <s v="Single"/>
    <x v="3"/>
    <x v="5"/>
    <n v="0"/>
    <x v="0"/>
    <x v="0"/>
  </r>
  <r>
    <x v="1"/>
    <m/>
    <n v="145787"/>
    <s v="Palmer Hart"/>
    <d v="2020-09-16T00:00:00"/>
    <d v="2024-01-27T00:00:00"/>
    <x v="4"/>
    <x v="1"/>
    <x v="1"/>
    <d v="2021-10-14T00:00:00"/>
    <s v="Married"/>
    <x v="3"/>
    <x v="5"/>
    <n v="0"/>
    <x v="0"/>
    <x v="0"/>
  </r>
  <r>
    <x v="1"/>
    <m/>
    <n v="170924"/>
    <s v="Lesa Terrell"/>
    <d v="2020-09-16T00:00:00"/>
    <d v="2024-03-17T00:00:00"/>
    <x v="6"/>
    <x v="1"/>
    <x v="0"/>
    <d v="2021-10-01T00:00:00"/>
    <s v="Single"/>
    <x v="3"/>
    <x v="5"/>
    <n v="0"/>
    <x v="0"/>
    <x v="0"/>
  </r>
  <r>
    <x v="1"/>
    <m/>
    <n v="129573"/>
    <s v="Celeste Moses"/>
    <d v="2020-09-16T00:00:00"/>
    <d v="2024-09-29T00:00:00"/>
    <x v="1"/>
    <x v="1"/>
    <x v="1"/>
    <d v="2021-09-16T00:00:00"/>
    <s v="Single"/>
    <x v="1"/>
    <x v="5"/>
    <n v="0"/>
    <x v="0"/>
    <x v="0"/>
  </r>
  <r>
    <x v="0"/>
    <m/>
    <n v="115742"/>
    <s v="Leanne Mosley"/>
    <d v="2020-09-16T00:00:00"/>
    <m/>
    <x v="1"/>
    <x v="1"/>
    <x v="1"/>
    <d v="2021-09-23T00:00:00"/>
    <s v="Single"/>
    <x v="1"/>
    <x v="5"/>
    <n v="0"/>
    <x v="0"/>
    <x v="0"/>
  </r>
  <r>
    <x v="0"/>
    <m/>
    <n v="126064"/>
    <s v="Renaldo Navarro"/>
    <d v="2020-09-16T00:00:00"/>
    <m/>
    <x v="1"/>
    <x v="1"/>
    <x v="1"/>
    <d v="2021-05-30T00:00:00"/>
    <s v="Single"/>
    <x v="1"/>
    <x v="5"/>
    <n v="0"/>
    <x v="0"/>
    <x v="0"/>
  </r>
  <r>
    <x v="0"/>
    <m/>
    <n v="173140"/>
    <s v="Sonia Ortiz"/>
    <d v="2020-09-16T00:00:00"/>
    <m/>
    <x v="6"/>
    <x v="1"/>
    <x v="0"/>
    <d v="2021-07-13T00:00:00"/>
    <s v="Single"/>
    <x v="1"/>
    <x v="5"/>
    <n v="0"/>
    <x v="0"/>
    <x v="0"/>
  </r>
  <r>
    <x v="1"/>
    <m/>
    <n v="181592"/>
    <s v="Faith Lopez"/>
    <d v="2020-10-16T00:00:00"/>
    <d v="2024-02-03T00:00:00"/>
    <x v="6"/>
    <x v="1"/>
    <x v="0"/>
    <d v="2021-01-24T00:00:00"/>
    <s v="Married"/>
    <x v="2"/>
    <x v="5"/>
    <n v="12"/>
    <x v="0"/>
    <x v="0"/>
  </r>
  <r>
    <x v="1"/>
    <m/>
    <n v="144158"/>
    <s v="Kim Ramirez"/>
    <d v="2020-11-28T00:00:00"/>
    <d v="2023-03-31T00:00:00"/>
    <x v="0"/>
    <x v="1"/>
    <x v="0"/>
    <d v="2021-04-10T00:00:00"/>
    <s v="Married"/>
    <x v="1"/>
    <x v="1"/>
    <n v="6"/>
    <x v="0"/>
    <x v="0"/>
  </r>
  <r>
    <x v="0"/>
    <m/>
    <n v="178955"/>
    <s v="Mariana Chavez"/>
    <d v="2020-12-02T00:00:00"/>
    <m/>
    <x v="6"/>
    <x v="1"/>
    <x v="0"/>
    <d v="2021-03-18T00:00:00"/>
    <s v="Single"/>
    <x v="1"/>
    <x v="1"/>
    <n v="8"/>
    <x v="0"/>
    <x v="1"/>
  </r>
  <r>
    <x v="1"/>
    <m/>
    <n v="110616"/>
    <s v="Tracey Burch"/>
    <d v="2020-12-21T00:00:00"/>
    <d v="2022-03-31T00:00:00"/>
    <x v="0"/>
    <x v="1"/>
    <x v="0"/>
    <d v="2021-01-20T00:00:00"/>
    <s v="Married"/>
    <x v="1"/>
    <x v="4"/>
    <n v="9"/>
    <x v="0"/>
    <x v="1"/>
  </r>
  <r>
    <x v="1"/>
    <m/>
    <n v="120981"/>
    <s v="Gabriela Juarez"/>
    <d v="2020-12-26T00:00:00"/>
    <d v="2023-07-01T00:00:00"/>
    <x v="0"/>
    <x v="1"/>
    <x v="1"/>
    <d v="2021-07-22T00:00:00"/>
    <s v="Single"/>
    <x v="3"/>
    <x v="0"/>
    <n v="0"/>
    <x v="0"/>
    <x v="1"/>
  </r>
  <r>
    <x v="1"/>
    <m/>
    <n v="140182"/>
    <s v="Katheryn Trevino"/>
    <d v="2021-01-22T00:00:00"/>
    <d v="2022-03-15T00:00:00"/>
    <x v="4"/>
    <x v="1"/>
    <x v="1"/>
    <d v="2021-02-08T00:00:00"/>
    <s v="Single"/>
    <x v="3"/>
    <x v="0"/>
    <n v="0"/>
    <x v="1"/>
    <x v="1"/>
  </r>
  <r>
    <x v="1"/>
    <m/>
    <n v="174057"/>
    <s v="Angelita Townsend"/>
    <d v="2021-01-22T00:00:00"/>
    <d v="2023-02-08T00:00:00"/>
    <x v="4"/>
    <x v="1"/>
    <x v="0"/>
    <d v="2021-11-11T00:00:00"/>
    <s v="Married"/>
    <x v="1"/>
    <x v="0"/>
    <n v="6"/>
    <x v="1"/>
    <x v="1"/>
  </r>
  <r>
    <x v="1"/>
    <m/>
    <n v="124194"/>
    <s v="Damon Burgess"/>
    <d v="2021-01-29T00:00:00"/>
    <d v="2022-03-10T00:00:00"/>
    <x v="1"/>
    <x v="1"/>
    <x v="0"/>
    <d v="2021-01-25T00:00:00"/>
    <s v="Married"/>
    <x v="2"/>
    <x v="1"/>
    <n v="13"/>
    <x v="1"/>
    <x v="1"/>
  </r>
  <r>
    <x v="1"/>
    <m/>
    <n v="185420"/>
    <s v="Olen Watts"/>
    <d v="2021-02-19T00:00:00"/>
    <d v="2023-09-30T00:00:00"/>
    <x v="2"/>
    <x v="1"/>
    <x v="0"/>
    <d v="2021-06-24T00:00:00"/>
    <s v="Married"/>
    <x v="1"/>
    <x v="2"/>
    <n v="5"/>
    <x v="1"/>
    <x v="1"/>
  </r>
  <r>
    <x v="1"/>
    <m/>
    <n v="184945"/>
    <s v="Raymond Levine"/>
    <d v="2021-02-24T00:00:00"/>
    <d v="2022-07-06T00:00:00"/>
    <x v="1"/>
    <x v="1"/>
    <x v="0"/>
    <d v="2021-09-27T00:00:00"/>
    <s v="Married"/>
    <x v="1"/>
    <x v="1"/>
    <n v="10"/>
    <x v="1"/>
    <x v="1"/>
  </r>
  <r>
    <x v="0"/>
    <m/>
    <n v="129852"/>
    <s v="Sally Hinton"/>
    <d v="2021-03-02T00:00:00"/>
    <m/>
    <x v="4"/>
    <x v="1"/>
    <x v="0"/>
    <d v="2021-01-04T00:00:00"/>
    <s v="Single"/>
    <x v="2"/>
    <x v="0"/>
    <n v="10"/>
    <x v="1"/>
    <x v="1"/>
  </r>
  <r>
    <x v="1"/>
    <m/>
    <n v="139272"/>
    <s v="Katelyn Ware"/>
    <d v="2021-03-09T00:00:00"/>
    <d v="2023-06-30T00:00:00"/>
    <x v="0"/>
    <x v="1"/>
    <x v="1"/>
    <d v="2021-06-16T00:00:00"/>
    <s v="Married"/>
    <x v="1"/>
    <x v="0"/>
    <n v="8"/>
    <x v="1"/>
    <x v="1"/>
  </r>
  <r>
    <x v="0"/>
    <m/>
    <n v="194976"/>
    <s v="Jessie Bowen"/>
    <d v="2021-03-16T00:00:00"/>
    <m/>
    <x v="4"/>
    <x v="1"/>
    <x v="1"/>
    <d v="2021-01-04T00:00:00"/>
    <s v="Single"/>
    <x v="1"/>
    <x v="0"/>
    <n v="3.5"/>
    <x v="1"/>
    <x v="1"/>
  </r>
  <r>
    <x v="0"/>
    <m/>
    <n v="132557"/>
    <s v="Mac Marquez"/>
    <d v="2021-05-27T00:00:00"/>
    <m/>
    <x v="1"/>
    <x v="1"/>
    <x v="1"/>
    <d v="2021-08-21T00:00:00"/>
    <s v="Single"/>
    <x v="1"/>
    <x v="2"/>
    <n v="7"/>
    <x v="1"/>
    <x v="1"/>
  </r>
  <r>
    <x v="1"/>
    <s v="OnRoll"/>
    <n v="187280"/>
    <s v="Spencer Webb"/>
    <d v="2021-08-10T00:00:00"/>
    <d v="2022-02-19T00:00:00"/>
    <x v="4"/>
    <x v="1"/>
    <x v="1"/>
    <d v="2021-09-16T00:00:00"/>
    <s v="Single"/>
    <x v="3"/>
    <x v="0"/>
    <n v="0"/>
    <x v="1"/>
    <x v="1"/>
  </r>
  <r>
    <x v="0"/>
    <s v="OnRoll"/>
    <n v="190396"/>
    <s v="Valentin Mcdonald"/>
    <d v="2021-08-10T00:00:00"/>
    <m/>
    <x v="4"/>
    <x v="1"/>
    <x v="0"/>
    <d v="2021-11-13T00:00:00"/>
    <s v="Single"/>
    <x v="3"/>
    <x v="0"/>
    <n v="0"/>
    <x v="1"/>
    <x v="1"/>
  </r>
  <r>
    <x v="2"/>
    <m/>
    <n v="161242"/>
    <s v="Royce Schneider"/>
    <d v="2021-08-12T00:00:00"/>
    <m/>
    <x v="3"/>
    <x v="1"/>
    <x v="0"/>
    <d v="2021-12-26T00:00:00"/>
    <s v="Married"/>
    <x v="1"/>
    <x v="0"/>
    <n v="10"/>
    <x v="1"/>
    <x v="1"/>
  </r>
  <r>
    <x v="1"/>
    <m/>
    <n v="156965"/>
    <s v="Kara Mclean"/>
    <d v="2021-08-17T00:00:00"/>
    <d v="2022-03-16T00:00:00"/>
    <x v="4"/>
    <x v="1"/>
    <x v="1"/>
    <d v="2021-02-20T00:00:00"/>
    <s v="Married"/>
    <x v="1"/>
    <x v="0"/>
    <n v="11"/>
    <x v="1"/>
    <x v="1"/>
  </r>
  <r>
    <x v="1"/>
    <m/>
    <n v="192455"/>
    <s v="Damian Mckee"/>
    <d v="2021-09-01T00:00:00"/>
    <d v="2021-02-06T00:00:00"/>
    <x v="0"/>
    <x v="1"/>
    <x v="0"/>
    <d v="2021-05-22T00:00:00"/>
    <s v="Married"/>
    <x v="1"/>
    <x v="4"/>
    <n v="8"/>
    <x v="1"/>
    <x v="1"/>
  </r>
  <r>
    <x v="1"/>
    <m/>
    <n v="174038"/>
    <s v="Mohamed Duran"/>
    <d v="2021-09-01T00:00:00"/>
    <d v="2021-03-27T00:00:00"/>
    <x v="4"/>
    <x v="1"/>
    <x v="1"/>
    <d v="2021-12-10T00:00:00"/>
    <s v="Married"/>
    <x v="1"/>
    <x v="1"/>
    <n v="12"/>
    <x v="1"/>
    <x v="1"/>
  </r>
  <r>
    <x v="0"/>
    <m/>
    <n v="129765"/>
    <s v="Vera Harvey"/>
    <d v="2021-09-01T00:00:00"/>
    <m/>
    <x v="0"/>
    <x v="1"/>
    <x v="0"/>
    <d v="2021-01-15T00:00:00"/>
    <s v="Single"/>
    <x v="1"/>
    <x v="0"/>
    <n v="5"/>
    <x v="1"/>
    <x v="1"/>
  </r>
  <r>
    <x v="0"/>
    <m/>
    <n v="154732"/>
    <s v="Cristina David"/>
    <d v="2021-09-09T00:00:00"/>
    <m/>
    <x v="5"/>
    <x v="1"/>
    <x v="1"/>
    <d v="2021-11-07T00:00:00"/>
    <s v="Single"/>
    <x v="3"/>
    <x v="0"/>
    <n v="0"/>
    <x v="1"/>
    <x v="1"/>
  </r>
  <r>
    <x v="0"/>
    <m/>
    <n v="137413"/>
    <s v="Florence Randall"/>
    <d v="2021-09-16T00:00:00"/>
    <m/>
    <x v="5"/>
    <x v="1"/>
    <x v="0"/>
    <d v="2021-01-24T00:00:00"/>
    <s v="Single"/>
    <x v="2"/>
    <x v="0"/>
    <n v="9"/>
    <x v="1"/>
    <x v="1"/>
  </r>
  <r>
    <x v="0"/>
    <m/>
    <n v="185734"/>
    <s v="Andrea Logan"/>
    <d v="2021-09-16T00:00:00"/>
    <m/>
    <x v="4"/>
    <x v="1"/>
    <x v="0"/>
    <d v="2021-12-06T00:00:00"/>
    <s v="Single"/>
    <x v="3"/>
    <x v="5"/>
    <n v="0"/>
    <x v="1"/>
    <x v="1"/>
  </r>
  <r>
    <x v="0"/>
    <m/>
    <n v="142749"/>
    <s v="Barrett Wallace"/>
    <d v="2021-09-30T00:00:00"/>
    <m/>
    <x v="4"/>
    <x v="1"/>
    <x v="0"/>
    <d v="2021-07-04T00:00:00"/>
    <s v="Single"/>
    <x v="1"/>
    <x v="0"/>
    <n v="17"/>
    <x v="1"/>
    <x v="1"/>
  </r>
  <r>
    <x v="1"/>
    <m/>
    <n v="116657"/>
    <s v="Claude Ramsey"/>
    <d v="2021-10-21T00:00:00"/>
    <d v="2022-06-28T00:00:00"/>
    <x v="4"/>
    <x v="1"/>
    <x v="0"/>
    <d v="2021-04-14T00:00:00"/>
    <s v="Single"/>
    <x v="1"/>
    <x v="0"/>
    <n v="4.5999999999999996"/>
    <x v="1"/>
    <x v="1"/>
  </r>
  <r>
    <x v="0"/>
    <m/>
    <n v="144530"/>
    <s v="Mason Wells"/>
    <d v="2021-11-18T00:00:00"/>
    <m/>
    <x v="4"/>
    <x v="1"/>
    <x v="0"/>
    <d v="2021-03-20T00:00:00"/>
    <s v="Single"/>
    <x v="1"/>
    <x v="6"/>
    <n v="14"/>
    <x v="1"/>
    <x v="1"/>
  </r>
  <r>
    <x v="0"/>
    <m/>
    <n v="101259"/>
    <s v="Whitney Vance"/>
    <d v="2022-02-24T00:00:00"/>
    <m/>
    <x v="1"/>
    <x v="1"/>
    <x v="0"/>
    <d v="2021-11-27T00:00:00"/>
    <s v="Married"/>
    <x v="2"/>
    <x v="0"/>
    <n v="12"/>
    <x v="2"/>
    <x v="2"/>
  </r>
  <r>
    <x v="0"/>
    <m/>
    <n v="122323"/>
    <s v="Bobbie Harvey"/>
    <d v="2022-03-03T00:00:00"/>
    <m/>
    <x v="2"/>
    <x v="1"/>
    <x v="1"/>
    <d v="2021-08-18T00:00:00"/>
    <s v="Married"/>
    <x v="1"/>
    <x v="6"/>
    <n v="14"/>
    <x v="2"/>
    <x v="2"/>
  </r>
  <r>
    <x v="0"/>
    <m/>
    <n v="136489"/>
    <s v="Russel Fox"/>
    <d v="2022-03-17T00:00:00"/>
    <m/>
    <x v="4"/>
    <x v="1"/>
    <x v="0"/>
    <d v="2021-02-03T00:00:00"/>
    <s v="Married"/>
    <x v="1"/>
    <x v="6"/>
    <n v="5.3"/>
    <x v="2"/>
    <x v="2"/>
  </r>
  <r>
    <x v="0"/>
    <m/>
    <n v="107161"/>
    <s v="Benita Holland"/>
    <d v="2022-03-24T00:00:00"/>
    <m/>
    <x v="0"/>
    <x v="1"/>
    <x v="1"/>
    <d v="2021-07-25T00:00:00"/>
    <s v="Single"/>
    <x v="3"/>
    <x v="6"/>
    <n v="2.5"/>
    <x v="2"/>
    <x v="2"/>
  </r>
  <r>
    <x v="0"/>
    <m/>
    <n v="182061"/>
    <s v="Cory Leblanc"/>
    <d v="2022-03-24T00:00:00"/>
    <m/>
    <x v="4"/>
    <x v="1"/>
    <x v="0"/>
    <d v="2021-05-06T00:00:00"/>
    <s v="Single"/>
    <x v="1"/>
    <x v="6"/>
    <n v="2.11"/>
    <x v="2"/>
    <x v="2"/>
  </r>
  <r>
    <x v="0"/>
    <m/>
    <n v="123190"/>
    <s v="Isaiah George"/>
    <d v="2022-04-07T00:00:00"/>
    <m/>
    <x v="4"/>
    <x v="1"/>
    <x v="1"/>
    <d v="2021-01-18T00:00:00"/>
    <s v="Single"/>
    <x v="3"/>
    <x v="6"/>
    <n v="0"/>
    <x v="2"/>
    <x v="2"/>
  </r>
  <r>
    <x v="0"/>
    <m/>
    <n v="118638"/>
    <s v="Brad Nichols"/>
    <d v="2022-04-07T00:00:00"/>
    <m/>
    <x v="4"/>
    <x v="1"/>
    <x v="0"/>
    <d v="2021-11-24T00:00:00"/>
    <s v="Married"/>
    <x v="1"/>
    <x v="6"/>
    <n v="15"/>
    <x v="2"/>
    <x v="2"/>
  </r>
  <r>
    <x v="0"/>
    <m/>
    <n v="132330"/>
    <s v="Quentin Mcdonald"/>
    <d v="2022-04-14T00:00:00"/>
    <m/>
    <x v="3"/>
    <x v="1"/>
    <x v="0"/>
    <d v="2021-10-14T00:00:00"/>
    <s v="Married"/>
    <x v="2"/>
    <x v="5"/>
    <n v="14"/>
    <x v="2"/>
    <x v="2"/>
  </r>
  <r>
    <x v="0"/>
    <m/>
    <n v="191594"/>
    <s v="Johnie Pruitt"/>
    <d v="2022-04-19T00:00:00"/>
    <m/>
    <x v="2"/>
    <x v="1"/>
    <x v="0"/>
    <d v="2021-09-07T00:00:00"/>
    <s v="Married"/>
    <x v="1"/>
    <x v="0"/>
    <n v="8"/>
    <x v="2"/>
    <x v="2"/>
  </r>
  <r>
    <x v="2"/>
    <m/>
    <n v="152991"/>
    <s v="Walker Whitney"/>
    <d v="2022-05-05T00:00:00"/>
    <m/>
    <x v="1"/>
    <x v="1"/>
    <x v="0"/>
    <d v="2021-02-18T00:00:00"/>
    <s v="Married"/>
    <x v="1"/>
    <x v="0"/>
    <n v="15"/>
    <x v="2"/>
    <x v="2"/>
  </r>
  <r>
    <x v="1"/>
    <s v="OnRoll"/>
    <n v="101996"/>
    <s v="Alexander Fowler"/>
    <d v="2022-06-30T00:00:00"/>
    <d v="2023-07-01T00:00:00"/>
    <x v="1"/>
    <x v="1"/>
    <x v="0"/>
    <d v="2021-08-06T00:00:00"/>
    <s v="Single"/>
    <x v="3"/>
    <x v="6"/>
    <n v="1"/>
    <x v="2"/>
    <x v="2"/>
  </r>
  <r>
    <x v="1"/>
    <m/>
    <n v="138939"/>
    <s v="Susanna Humphrey"/>
    <d v="2022-07-07T00:00:00"/>
    <d v="2023-05-08T00:00:00"/>
    <x v="1"/>
    <x v="1"/>
    <x v="1"/>
    <d v="2021-04-03T00:00:00"/>
    <s v="Married"/>
    <x v="1"/>
    <x v="0"/>
    <n v="6"/>
    <x v="2"/>
    <x v="2"/>
  </r>
  <r>
    <x v="1"/>
    <m/>
    <n v="198396"/>
    <s v="Beth Lowe"/>
    <d v="2022-07-21T00:00:00"/>
    <d v="2024-02-02T00:00:00"/>
    <x v="1"/>
    <x v="1"/>
    <x v="0"/>
    <d v="2021-01-12T00:00:00"/>
    <s v="Married"/>
    <x v="2"/>
    <x v="1"/>
    <n v="18"/>
    <x v="2"/>
    <x v="2"/>
  </r>
  <r>
    <x v="0"/>
    <m/>
    <n v="194143"/>
    <s v="Casandra Aguilar"/>
    <d v="2022-07-21T00:00:00"/>
    <m/>
    <x v="4"/>
    <x v="1"/>
    <x v="0"/>
    <d v="2021-02-21T00:00:00"/>
    <s v="Married"/>
    <x v="1"/>
    <x v="6"/>
    <n v="6.5"/>
    <x v="2"/>
    <x v="2"/>
  </r>
  <r>
    <x v="2"/>
    <m/>
    <n v="134729"/>
    <s v="Lynn Andersen"/>
    <d v="2022-07-26T00:00:00"/>
    <m/>
    <x v="1"/>
    <x v="1"/>
    <x v="0"/>
    <d v="2021-01-10T00:00:00"/>
    <s v="Single"/>
    <x v="1"/>
    <x v="0"/>
    <n v="7"/>
    <x v="2"/>
    <x v="2"/>
  </r>
  <r>
    <x v="1"/>
    <m/>
    <n v="186526"/>
    <s v="Leola Vega"/>
    <d v="2022-09-01T00:00:00"/>
    <d v="2023-12-09T00:00:00"/>
    <x v="4"/>
    <x v="1"/>
    <x v="1"/>
    <d v="2021-12-10T00:00:00"/>
    <s v="Married"/>
    <x v="3"/>
    <x v="6"/>
    <n v="1.8"/>
    <x v="2"/>
    <x v="2"/>
  </r>
  <r>
    <x v="0"/>
    <m/>
    <n v="115395"/>
    <s v="Hillary Spencer"/>
    <d v="2022-09-01T00:00:00"/>
    <m/>
    <x v="4"/>
    <x v="1"/>
    <x v="1"/>
    <d v="2021-10-26T00:00:00"/>
    <s v="Single"/>
    <x v="3"/>
    <x v="6"/>
    <n v="3.5"/>
    <x v="2"/>
    <x v="2"/>
  </r>
  <r>
    <x v="0"/>
    <m/>
    <n v="160948"/>
    <s v="Joesph Jones"/>
    <d v="2022-09-01T00:00:00"/>
    <m/>
    <x v="4"/>
    <x v="1"/>
    <x v="1"/>
    <d v="2021-10-03T00:00:00"/>
    <s v="Single"/>
    <x v="3"/>
    <x v="6"/>
    <n v="0"/>
    <x v="2"/>
    <x v="2"/>
  </r>
  <r>
    <x v="0"/>
    <m/>
    <n v="163814"/>
    <s v="Otha May"/>
    <d v="2022-09-01T00:00:00"/>
    <m/>
    <x v="0"/>
    <x v="1"/>
    <x v="0"/>
    <d v="2021-01-12T00:00:00"/>
    <s v="Single"/>
    <x v="3"/>
    <x v="6"/>
    <n v="2"/>
    <x v="2"/>
    <x v="2"/>
  </r>
  <r>
    <x v="0"/>
    <m/>
    <n v="163161"/>
    <s v="Ophelia Black"/>
    <d v="2022-09-01T00:00:00"/>
    <m/>
    <x v="4"/>
    <x v="1"/>
    <x v="0"/>
    <d v="2021-01-19T00:00:00"/>
    <s v="Married"/>
    <x v="1"/>
    <x v="6"/>
    <n v="13"/>
    <x v="2"/>
    <x v="2"/>
  </r>
  <r>
    <x v="0"/>
    <m/>
    <n v="173240"/>
    <s v="Helena Williamson"/>
    <d v="2022-09-15T00:00:00"/>
    <m/>
    <x v="0"/>
    <x v="1"/>
    <x v="1"/>
    <d v="2021-02-02T00:00:00"/>
    <s v="Married"/>
    <x v="1"/>
    <x v="6"/>
    <n v="8.1999999999999993"/>
    <x v="2"/>
    <x v="2"/>
  </r>
  <r>
    <x v="0"/>
    <m/>
    <n v="109673"/>
    <s v="Megan Kent"/>
    <d v="2022-10-06T00:00:00"/>
    <m/>
    <x v="4"/>
    <x v="1"/>
    <x v="0"/>
    <d v="2021-05-10T00:00:00"/>
    <s v="Single"/>
    <x v="3"/>
    <x v="6"/>
    <n v="7.6"/>
    <x v="2"/>
    <x v="2"/>
  </r>
  <r>
    <x v="0"/>
    <m/>
    <n v="138302"/>
    <s v="Rufus Escobar"/>
    <d v="2022-10-13T00:00:00"/>
    <m/>
    <x v="4"/>
    <x v="1"/>
    <x v="0"/>
    <d v="2021-08-25T00:00:00"/>
    <s v="Single"/>
    <x v="3"/>
    <x v="6"/>
    <n v="6.2"/>
    <x v="2"/>
    <x v="2"/>
  </r>
  <r>
    <x v="2"/>
    <m/>
    <n v="126765"/>
    <s v="Ericka Hurst"/>
    <d v="2022-11-03T00:00:00"/>
    <m/>
    <x v="1"/>
    <x v="1"/>
    <x v="0"/>
    <d v="2021-01-21T00:00:00"/>
    <s v="Married"/>
    <x v="1"/>
    <x v="0"/>
    <n v="15"/>
    <x v="2"/>
    <x v="2"/>
  </r>
  <r>
    <x v="2"/>
    <m/>
    <n v="188099"/>
    <s v="Johnny Cisneros"/>
    <d v="2022-12-06T00:00:00"/>
    <m/>
    <x v="1"/>
    <x v="1"/>
    <x v="0"/>
    <d v="2021-05-16T00:00:00"/>
    <s v="Married"/>
    <x v="1"/>
    <x v="0"/>
    <n v="16"/>
    <x v="2"/>
    <x v="3"/>
  </r>
  <r>
    <x v="0"/>
    <s v="OnRoll"/>
    <n v="115441"/>
    <s v="Alba Norton"/>
    <d v="2023-02-01T00:00:00"/>
    <m/>
    <x v="1"/>
    <x v="1"/>
    <x v="0"/>
    <d v="2021-06-30T00:00:00"/>
    <s v="Single"/>
    <x v="3"/>
    <x v="4"/>
    <n v="1.5"/>
    <x v="3"/>
    <x v="3"/>
  </r>
  <r>
    <x v="0"/>
    <s v="OnRoll"/>
    <n v="169669"/>
    <s v="Sanford Patterson"/>
    <d v="2023-04-11T00:00:00"/>
    <m/>
    <x v="1"/>
    <x v="1"/>
    <x v="1"/>
    <d v="2022-03-19T00:00:00"/>
    <s v="Married"/>
    <x v="1"/>
    <x v="2"/>
    <n v="6"/>
    <x v="3"/>
    <x v="3"/>
  </r>
  <r>
    <x v="0"/>
    <m/>
    <n v="100957"/>
    <s v="Blanche Greer"/>
    <d v="2023-04-20T00:00:00"/>
    <m/>
    <x v="1"/>
    <x v="1"/>
    <x v="1"/>
    <d v="2022-03-12T00:00:00"/>
    <s v="Married"/>
    <x v="1"/>
    <x v="0"/>
    <n v="8"/>
    <x v="3"/>
    <x v="3"/>
  </r>
  <r>
    <x v="2"/>
    <m/>
    <n v="193737"/>
    <s v="Nita Powers"/>
    <d v="2023-05-11T00:00:00"/>
    <m/>
    <x v="1"/>
    <x v="1"/>
    <x v="0"/>
    <d v="2022-10-13T00:00:00"/>
    <s v="Married"/>
    <x v="1"/>
    <x v="0"/>
    <n v="11.5"/>
    <x v="3"/>
    <x v="3"/>
  </r>
  <r>
    <x v="0"/>
    <m/>
    <n v="180698"/>
    <s v="Francesco Blanchard"/>
    <d v="2023-05-18T00:00:00"/>
    <m/>
    <x v="1"/>
    <x v="1"/>
    <x v="0"/>
    <d v="2022-03-09T00:00:00"/>
    <s v="Single"/>
    <x v="1"/>
    <x v="0"/>
    <n v="3.5"/>
    <x v="3"/>
    <x v="3"/>
  </r>
  <r>
    <x v="1"/>
    <m/>
    <n v="124433"/>
    <s v="Elias Davis"/>
    <d v="2023-06-01T00:00:00"/>
    <d v="2023-07-11T00:00:00"/>
    <x v="4"/>
    <x v="1"/>
    <x v="1"/>
    <d v="2022-11-02T00:00:00"/>
    <s v="Single"/>
    <x v="3"/>
    <x v="5"/>
    <n v="0"/>
    <x v="3"/>
    <x v="3"/>
  </r>
  <r>
    <x v="0"/>
    <s v="OnRoll"/>
    <n v="151636"/>
    <s v="Lucio Christian"/>
    <d v="2023-06-06T00:00:00"/>
    <m/>
    <x v="1"/>
    <x v="1"/>
    <x v="0"/>
    <d v="2021-02-28T00:00:00"/>
    <s v="Single"/>
    <x v="3"/>
    <x v="5"/>
    <n v="1.8"/>
    <x v="3"/>
    <x v="3"/>
  </r>
  <r>
    <x v="0"/>
    <s v="OnRoll"/>
    <n v="173529"/>
    <s v="Greg Schaefer"/>
    <d v="2023-06-06T00:00:00"/>
    <m/>
    <x v="1"/>
    <x v="1"/>
    <x v="1"/>
    <d v="2021-01-08T00:00:00"/>
    <s v="Single"/>
    <x v="3"/>
    <x v="5"/>
    <n v="1.5"/>
    <x v="3"/>
    <x v="3"/>
  </r>
  <r>
    <x v="0"/>
    <s v="OnRoll"/>
    <n v="116633"/>
    <s v="Adriana Little"/>
    <d v="2023-06-06T00:00:00"/>
    <m/>
    <x v="1"/>
    <x v="1"/>
    <x v="1"/>
    <d v="2021-01-22T00:00:00"/>
    <s v="Single"/>
    <x v="3"/>
    <x v="5"/>
    <n v="0.11"/>
    <x v="3"/>
    <x v="3"/>
  </r>
  <r>
    <x v="0"/>
    <s v="OnRoll"/>
    <n v="160990"/>
    <s v="Abdul Khan"/>
    <d v="2023-06-06T00:00:00"/>
    <m/>
    <x v="1"/>
    <x v="1"/>
    <x v="0"/>
    <d v="2022-08-31T00:00:00"/>
    <s v="Single"/>
    <x v="3"/>
    <x v="5"/>
    <n v="0"/>
    <x v="3"/>
    <x v="3"/>
  </r>
  <r>
    <x v="1"/>
    <m/>
    <n v="170513"/>
    <s v="Marissa Mckee"/>
    <d v="2023-06-08T00:00:00"/>
    <d v="2024-03-31T00:00:00"/>
    <x v="1"/>
    <x v="1"/>
    <x v="1"/>
    <d v="2022-05-31T00:00:00"/>
    <s v="Single"/>
    <x v="1"/>
    <x v="0"/>
    <n v="7"/>
    <x v="3"/>
    <x v="3"/>
  </r>
  <r>
    <x v="0"/>
    <m/>
    <n v="167822"/>
    <s v="Ashlee Ortega"/>
    <d v="2023-06-29T00:00:00"/>
    <m/>
    <x v="1"/>
    <x v="1"/>
    <x v="0"/>
    <d v="2022-07-31T00:00:00"/>
    <s v="Married"/>
    <x v="3"/>
    <x v="5"/>
    <n v="7"/>
    <x v="3"/>
    <x v="3"/>
  </r>
  <r>
    <x v="0"/>
    <m/>
    <n v="161037"/>
    <s v="Edmund Lawson"/>
    <d v="2023-07-04T00:00:00"/>
    <m/>
    <x v="1"/>
    <x v="1"/>
    <x v="1"/>
    <d v="2022-03-09T00:00:00"/>
    <s v="Single"/>
    <x v="3"/>
    <x v="0"/>
    <n v="5"/>
    <x v="3"/>
    <x v="3"/>
  </r>
  <r>
    <x v="0"/>
    <m/>
    <n v="153255"/>
    <s v="Linda Jacobs"/>
    <d v="2023-07-13T00:00:00"/>
    <m/>
    <x v="1"/>
    <x v="1"/>
    <x v="1"/>
    <d v="2022-01-29T00:00:00"/>
    <s v="Single"/>
    <x v="3"/>
    <x v="2"/>
    <n v="3.8"/>
    <x v="3"/>
    <x v="3"/>
  </r>
  <r>
    <x v="0"/>
    <m/>
    <n v="123179"/>
    <s v="Kelley Harding"/>
    <d v="2023-07-18T00:00:00"/>
    <m/>
    <x v="1"/>
    <x v="1"/>
    <x v="1"/>
    <d v="2022-02-20T00:00:00"/>
    <s v="Single"/>
    <x v="1"/>
    <x v="5"/>
    <n v="6.5"/>
    <x v="3"/>
    <x v="3"/>
  </r>
  <r>
    <x v="0"/>
    <m/>
    <n v="189554"/>
    <s v="Rose Carney"/>
    <d v="2023-07-27T00:00:00"/>
    <m/>
    <x v="1"/>
    <x v="1"/>
    <x v="1"/>
    <d v="2022-07-24T00:00:00"/>
    <s v="Married"/>
    <x v="1"/>
    <x v="5"/>
    <n v="8"/>
    <x v="3"/>
    <x v="3"/>
  </r>
  <r>
    <x v="0"/>
    <m/>
    <n v="186786"/>
    <s v="Emery Goodwin"/>
    <d v="2023-08-01T00:00:00"/>
    <m/>
    <x v="0"/>
    <x v="1"/>
    <x v="1"/>
    <d v="2022-09-15T00:00:00"/>
    <s v="Single"/>
    <x v="3"/>
    <x v="6"/>
    <n v="1.5"/>
    <x v="3"/>
    <x v="3"/>
  </r>
  <r>
    <x v="0"/>
    <m/>
    <n v="186818"/>
    <s v="Derick Singh"/>
    <d v="2023-08-03T00:00:00"/>
    <m/>
    <x v="0"/>
    <x v="1"/>
    <x v="0"/>
    <d v="2022-05-15T00:00:00"/>
    <s v="Single"/>
    <x v="1"/>
    <x v="6"/>
    <n v="7"/>
    <x v="3"/>
    <x v="3"/>
  </r>
  <r>
    <x v="0"/>
    <m/>
    <n v="147963"/>
    <s v="Hassan Wilcox"/>
    <d v="2023-08-16T00:00:00"/>
    <m/>
    <x v="1"/>
    <x v="1"/>
    <x v="1"/>
    <d v="2022-02-28T00:00:00"/>
    <s v="Married"/>
    <x v="1"/>
    <x v="0"/>
    <n v="15"/>
    <x v="3"/>
    <x v="3"/>
  </r>
  <r>
    <x v="0"/>
    <m/>
    <n v="150614"/>
    <s v="Natalie Serrano"/>
    <d v="2023-09-12T00:00:00"/>
    <m/>
    <x v="1"/>
    <x v="1"/>
    <x v="0"/>
    <d v="2022-09-26T00:00:00"/>
    <s v="Married"/>
    <x v="1"/>
    <x v="4"/>
    <n v="10.7"/>
    <x v="3"/>
    <x v="3"/>
  </r>
  <r>
    <x v="0"/>
    <m/>
    <n v="137151"/>
    <s v="Sandy Singleton"/>
    <d v="2023-09-26T00:00:00"/>
    <m/>
    <x v="4"/>
    <x v="1"/>
    <x v="1"/>
    <d v="2022-12-22T00:00:00"/>
    <s v="Single"/>
    <x v="3"/>
    <x v="6"/>
    <n v="2"/>
    <x v="3"/>
    <x v="3"/>
  </r>
  <r>
    <x v="0"/>
    <s v="OnRoll"/>
    <n v="173998"/>
    <s v="Josiah Hart"/>
    <d v="2023-10-28T00:00:00"/>
    <m/>
    <x v="1"/>
    <x v="1"/>
    <x v="0"/>
    <d v="2021-03-16T00:00:00"/>
    <s v="Single"/>
    <x v="1"/>
    <x v="1"/>
    <n v="5.3"/>
    <x v="3"/>
    <x v="3"/>
  </r>
  <r>
    <x v="0"/>
    <s v="OnRoll"/>
    <n v="103925"/>
    <s v="Wayne Hartman"/>
    <d v="2023-11-30T00:00:00"/>
    <m/>
    <x v="1"/>
    <x v="1"/>
    <x v="0"/>
    <d v="2021-05-12T00:00:00"/>
    <s v="Married"/>
    <x v="3"/>
    <x v="3"/>
    <n v="4.5"/>
    <x v="3"/>
    <x v="4"/>
  </r>
  <r>
    <x v="0"/>
    <m/>
    <n v="118694"/>
    <s v="Sallie Carpenter"/>
    <d v="2023-12-05T00:00:00"/>
    <m/>
    <x v="1"/>
    <x v="1"/>
    <x v="0"/>
    <d v="2022-01-20T00:00:00"/>
    <s v="Single"/>
    <x v="3"/>
    <x v="3"/>
    <n v="3.5"/>
    <x v="3"/>
    <x v="4"/>
  </r>
  <r>
    <x v="0"/>
    <m/>
    <n v="195849"/>
    <s v="Allen Walters"/>
    <d v="2023-12-05T00:00:00"/>
    <m/>
    <x v="1"/>
    <x v="1"/>
    <x v="1"/>
    <d v="2022-08-13T00:00:00"/>
    <s v="Single"/>
    <x v="3"/>
    <x v="3"/>
    <n v="1.5"/>
    <x v="3"/>
    <x v="4"/>
  </r>
  <r>
    <x v="0"/>
    <m/>
    <n v="182665"/>
    <s v="Flora Bass"/>
    <d v="2023-12-07T00:00:00"/>
    <m/>
    <x v="1"/>
    <x v="1"/>
    <x v="1"/>
    <d v="2022-03-02T00:00:00"/>
    <s v="Married"/>
    <x v="1"/>
    <x v="2"/>
    <n v="10.9"/>
    <x v="3"/>
    <x v="4"/>
  </r>
  <r>
    <x v="0"/>
    <m/>
    <n v="151067"/>
    <s v="Geneva Hardy"/>
    <d v="2023-12-12T00:00:00"/>
    <m/>
    <x v="2"/>
    <x v="1"/>
    <x v="1"/>
    <d v="2022-07-22T00:00:00"/>
    <s v="Married"/>
    <x v="3"/>
    <x v="5"/>
    <n v="2.8"/>
    <x v="3"/>
    <x v="4"/>
  </r>
  <r>
    <x v="0"/>
    <s v="OnRoll"/>
    <n v="188212"/>
    <s v="Roberto Harper"/>
    <d v="2023-12-14T00:00:00"/>
    <m/>
    <x v="1"/>
    <x v="1"/>
    <x v="0"/>
    <d v="2021-12-12T00:00:00"/>
    <s v="Married"/>
    <x v="1"/>
    <x v="2"/>
    <n v="7.5"/>
    <x v="3"/>
    <x v="4"/>
  </r>
  <r>
    <x v="0"/>
    <s v="OnRoll"/>
    <n v="188527"/>
    <s v="Isabella Miles"/>
    <d v="2023-12-14T00:00:00"/>
    <m/>
    <x v="1"/>
    <x v="1"/>
    <x v="1"/>
    <d v="2022-05-20T00:00:00"/>
    <s v="Single"/>
    <x v="3"/>
    <x v="3"/>
    <n v="10"/>
    <x v="3"/>
    <x v="4"/>
  </r>
  <r>
    <x v="0"/>
    <m/>
    <n v="151539"/>
    <s v="Consuelo Beck"/>
    <d v="2023-12-19T00:00:00"/>
    <m/>
    <x v="1"/>
    <x v="1"/>
    <x v="1"/>
    <d v="2022-02-21T00:00:00"/>
    <s v="Single"/>
    <x v="3"/>
    <x v="3"/>
    <n v="0"/>
    <x v="3"/>
    <x v="4"/>
  </r>
  <r>
    <x v="0"/>
    <m/>
    <n v="148895"/>
    <s v="Barney Velasquez"/>
    <d v="2023-12-28T00:00:00"/>
    <m/>
    <x v="2"/>
    <x v="1"/>
    <x v="1"/>
    <d v="2022-04-17T00:00:00"/>
    <s v="Single"/>
    <x v="3"/>
    <x v="5"/>
    <n v="0"/>
    <x v="3"/>
    <x v="4"/>
  </r>
  <r>
    <x v="0"/>
    <s v="OnRoll"/>
    <n v="114477"/>
    <s v="Jamaal Delgado"/>
    <d v="2024-01-04T00:00:00"/>
    <m/>
    <x v="1"/>
    <x v="1"/>
    <x v="0"/>
    <d v="2021-07-09T00:00:00"/>
    <s v="Single"/>
    <x v="3"/>
    <x v="3"/>
    <n v="1.6"/>
    <x v="4"/>
    <x v="4"/>
  </r>
  <r>
    <x v="0"/>
    <m/>
    <n v="170085"/>
    <s v="Glenda Ayers"/>
    <d v="2024-01-11T00:00:00"/>
    <m/>
    <x v="1"/>
    <x v="1"/>
    <x v="0"/>
    <d v="2023-08-06T00:00:00"/>
    <s v="Single"/>
    <x v="3"/>
    <x v="3"/>
    <n v="3.5"/>
    <x v="4"/>
    <x v="4"/>
  </r>
  <r>
    <x v="0"/>
    <m/>
    <n v="148355"/>
    <s v="Vonda Chandler"/>
    <d v="2024-01-11T00:00:00"/>
    <m/>
    <x v="0"/>
    <x v="1"/>
    <x v="0"/>
    <d v="2021-08-25T00:00:00"/>
    <s v="Single"/>
    <x v="3"/>
    <x v="5"/>
    <n v="14"/>
    <x v="4"/>
    <x v="4"/>
  </r>
  <r>
    <x v="0"/>
    <m/>
    <n v="132724"/>
    <s v="Elma Perkins"/>
    <d v="2024-01-23T00:00:00"/>
    <m/>
    <x v="3"/>
    <x v="1"/>
    <x v="0"/>
    <d v="2023-04-05T00:00:00"/>
    <s v="Single"/>
    <x v="3"/>
    <x v="3"/>
    <n v="0.6"/>
    <x v="4"/>
    <x v="4"/>
  </r>
  <r>
    <x v="0"/>
    <m/>
    <n v="136024"/>
    <s v="Irving Good"/>
    <d v="2024-01-23T00:00:00"/>
    <m/>
    <x v="4"/>
    <x v="1"/>
    <x v="0"/>
    <d v="2021-11-24T00:00:00"/>
    <s v="Single"/>
    <x v="2"/>
    <x v="5"/>
    <n v="14"/>
    <x v="4"/>
    <x v="4"/>
  </r>
  <r>
    <x v="0"/>
    <s v="OnRoll"/>
    <n v="186654"/>
    <s v="Carlo Stephens"/>
    <d v="2024-02-01T00:00:00"/>
    <m/>
    <x v="1"/>
    <x v="1"/>
    <x v="1"/>
    <d v="2022-05-27T00:00:00"/>
    <s v="Single"/>
    <x v="3"/>
    <x v="5"/>
    <n v="3.3"/>
    <x v="4"/>
    <x v="4"/>
  </r>
  <r>
    <x v="0"/>
    <m/>
    <n v="140505"/>
    <s v="Fermin Maddox"/>
    <d v="2024-02-01T00:00:00"/>
    <m/>
    <x v="0"/>
    <x v="1"/>
    <x v="1"/>
    <d v="2021-11-04T00:00:00"/>
    <s v="Single"/>
    <x v="3"/>
    <x v="5"/>
    <n v="13"/>
    <x v="4"/>
    <x v="4"/>
  </r>
  <r>
    <x v="0"/>
    <m/>
    <n v="166500"/>
    <s v="Wendell Bonilla"/>
    <d v="2024-02-06T00:00:00"/>
    <m/>
    <x v="1"/>
    <x v="1"/>
    <x v="1"/>
    <d v="2022-12-11T00:00:00"/>
    <s v="Single"/>
    <x v="3"/>
    <x v="2"/>
    <n v="1.5"/>
    <x v="4"/>
    <x v="4"/>
  </r>
  <r>
    <x v="0"/>
    <s v="OnRoll"/>
    <n v="196256"/>
    <s v="Hank Copeland"/>
    <d v="2024-03-15T00:00:00"/>
    <m/>
    <x v="1"/>
    <x v="1"/>
    <x v="1"/>
    <d v="2021-05-03T00:00:00"/>
    <s v="Married"/>
    <x v="3"/>
    <x v="5"/>
    <n v="3"/>
    <x v="4"/>
    <x v="4"/>
  </r>
  <r>
    <x v="0"/>
    <m/>
    <n v="107622"/>
    <s v="Luciano Arnold"/>
    <d v="2024-03-15T00:00:00"/>
    <m/>
    <x v="4"/>
    <x v="1"/>
    <x v="1"/>
    <d v="2021-04-28T00:00:00"/>
    <s v="Single"/>
    <x v="1"/>
    <x v="5"/>
    <n v="13"/>
    <x v="4"/>
    <x v="4"/>
  </r>
  <r>
    <x v="0"/>
    <m/>
    <n v="140845"/>
    <s v="Aimee Freeman"/>
    <d v="2024-03-23T00:00:00"/>
    <m/>
    <x v="2"/>
    <x v="1"/>
    <x v="0"/>
    <d v="2023-06-04T00:00:00"/>
    <s v="Single"/>
    <x v="1"/>
    <x v="5"/>
    <n v="10"/>
    <x v="4"/>
    <x v="4"/>
  </r>
  <r>
    <x v="0"/>
    <m/>
    <n v="196163"/>
    <s v="Jarrett Henson"/>
    <d v="2024-03-23T00:00:00"/>
    <m/>
    <x v="3"/>
    <x v="1"/>
    <x v="0"/>
    <d v="2022-12-16T00:00:00"/>
    <s v="Single"/>
    <x v="3"/>
    <x v="5"/>
    <n v="6.8"/>
    <x v="4"/>
    <x v="4"/>
  </r>
  <r>
    <x v="0"/>
    <m/>
    <n v="143527"/>
    <s v="Garland Barber"/>
    <d v="2024-03-23T00:00:00"/>
    <m/>
    <x v="0"/>
    <x v="1"/>
    <x v="0"/>
    <d v="2021-02-14T00:00:00"/>
    <s v="Married"/>
    <x v="2"/>
    <x v="3"/>
    <n v="7"/>
    <x v="4"/>
    <x v="4"/>
  </r>
  <r>
    <x v="0"/>
    <m/>
    <n v="121781"/>
    <s v="Filiberto Baird"/>
    <d v="2024-03-23T00:00:00"/>
    <m/>
    <x v="0"/>
    <x v="1"/>
    <x v="0"/>
    <d v="2021-03-11T00:00:00"/>
    <s v="Single"/>
    <x v="2"/>
    <x v="3"/>
    <n v="13"/>
    <x v="4"/>
    <x v="4"/>
  </r>
  <r>
    <x v="0"/>
    <s v="OnRoll"/>
    <n v="190716"/>
    <s v="Reed Pena"/>
    <d v="2024-04-03T00:00:00"/>
    <m/>
    <x v="2"/>
    <x v="1"/>
    <x v="1"/>
    <d v="2021-06-15T00:00:00"/>
    <s v="Married"/>
    <x v="3"/>
    <x v="3"/>
    <n v="4"/>
    <x v="4"/>
    <x v="4"/>
  </r>
  <r>
    <x v="0"/>
    <m/>
    <n v="131453"/>
    <s v="Cecile Garner"/>
    <d v="2024-04-03T00:00:00"/>
    <m/>
    <x v="4"/>
    <x v="1"/>
    <x v="0"/>
    <d v="2023-01-14T00:00:00"/>
    <s v="Single"/>
    <x v="3"/>
    <x v="0"/>
    <n v="8"/>
    <x v="4"/>
    <x v="4"/>
  </r>
  <r>
    <x v="0"/>
    <m/>
    <n v="133611"/>
    <s v="Art Kim"/>
    <d v="2024-04-19T00:00:00"/>
    <m/>
    <x v="4"/>
    <x v="1"/>
    <x v="1"/>
    <d v="1999-05-20T00:00:00"/>
    <s v="Single"/>
    <x v="3"/>
    <x v="6"/>
    <n v="0"/>
    <x v="4"/>
    <x v="4"/>
  </r>
  <r>
    <x v="0"/>
    <m/>
    <n v="158773"/>
    <s v="Grover Kramer"/>
    <d v="2024-05-15T00:00:00"/>
    <m/>
    <x v="2"/>
    <x v="1"/>
    <x v="0"/>
    <d v="2023-05-27T00:00:00"/>
    <s v="Single"/>
    <x v="3"/>
    <x v="3"/>
    <n v="3"/>
    <x v="4"/>
    <x v="4"/>
  </r>
  <r>
    <x v="0"/>
    <m/>
    <n v="109333"/>
    <s v="Milan Pope"/>
    <d v="2024-05-22T00:00:00"/>
    <m/>
    <x v="1"/>
    <x v="1"/>
    <x v="0"/>
    <d v="2023-08-04T00:00:00"/>
    <s v="Married"/>
    <x v="1"/>
    <x v="2"/>
    <n v="10"/>
    <x v="4"/>
    <x v="4"/>
  </r>
  <r>
    <x v="0"/>
    <m/>
    <n v="165233"/>
    <s v="Randal Mata"/>
    <d v="2024-06-12T00:00:00"/>
    <m/>
    <x v="1"/>
    <x v="1"/>
    <x v="0"/>
    <d v="2023-04-06T00:00:00"/>
    <s v="Single"/>
    <x v="3"/>
    <x v="3"/>
    <n v="1.2"/>
    <x v="4"/>
    <x v="4"/>
  </r>
  <r>
    <x v="0"/>
    <s v="OnRoll"/>
    <n v="103360"/>
    <s v="Pete Arroyo"/>
    <d v="2024-10-04T00:00:00"/>
    <m/>
    <x v="1"/>
    <x v="1"/>
    <x v="1"/>
    <d v="2001-04-01T00:00:00"/>
    <s v="Single"/>
    <x v="3"/>
    <x v="5"/>
    <n v="0.11"/>
    <x v="4"/>
    <x v="4"/>
  </r>
  <r>
    <x v="0"/>
    <m/>
    <n v="168841"/>
    <s v="Jefferson Perry"/>
    <d v="2024-10-04T00:00:00"/>
    <m/>
    <x v="1"/>
    <x v="1"/>
    <x v="0"/>
    <d v="1982-01-03T00:00:00"/>
    <s v="Married"/>
    <x v="2"/>
    <x v="6"/>
    <n v="19"/>
    <x v="4"/>
    <x v="4"/>
  </r>
  <r>
    <x v="1"/>
    <m/>
    <n v="123680"/>
    <s v="Luna Sanders"/>
    <d v="2025-01-01T00:00:00"/>
    <m/>
    <x v="6"/>
    <x v="1"/>
    <x v="1"/>
    <d v="2021-01-15T00:00:00"/>
    <s v="Single"/>
    <x v="3"/>
    <x v="0"/>
    <n v="0"/>
    <x v="5"/>
    <x v="5"/>
  </r>
  <r>
    <x v="0"/>
    <m/>
    <n v="136555"/>
    <s v="Santos Mooney"/>
    <d v="2025-01-05T00:00:00"/>
    <m/>
    <x v="6"/>
    <x v="1"/>
    <x v="0"/>
    <d v="2021-10-03T00:00:00"/>
    <s v="Married"/>
    <x v="2"/>
    <x v="1"/>
    <n v="5"/>
    <x v="5"/>
    <x v="5"/>
  </r>
  <r>
    <x v="0"/>
    <m/>
    <n v="109886"/>
    <s v="Theodore Dinh"/>
    <d v="2025-01-07T00:00:00"/>
    <m/>
    <x v="6"/>
    <x v="1"/>
    <x v="1"/>
    <d v="2021-12-10T00:00:00"/>
    <s v="Married"/>
    <x v="2"/>
    <x v="0"/>
    <n v="14"/>
    <x v="5"/>
    <x v="5"/>
  </r>
  <r>
    <x v="0"/>
    <m/>
    <n v="135596"/>
    <s v="Austin Vo"/>
    <d v="2025-01-14T00:00:00"/>
    <m/>
    <x v="2"/>
    <x v="1"/>
    <x v="0"/>
    <d v="2021-03-14T00:00:00"/>
    <s v="Single"/>
    <x v="1"/>
    <x v="0"/>
    <n v="0"/>
    <x v="5"/>
    <x v="5"/>
  </r>
  <r>
    <x v="0"/>
    <m/>
    <n v="102045"/>
    <s v="Jermaine Benitez"/>
    <d v="2025-03-04T00:00:00"/>
    <m/>
    <x v="1"/>
    <x v="1"/>
    <x v="1"/>
    <d v="2021-01-20T00:00:00"/>
    <s v="Single"/>
    <x v="2"/>
    <x v="1"/>
    <n v="17"/>
    <x v="5"/>
    <x v="5"/>
  </r>
  <r>
    <x v="0"/>
    <m/>
    <n v="137966"/>
    <s v="Joshua Gupta"/>
    <d v="2025-07-14T00:00:00"/>
    <m/>
    <x v="1"/>
    <x v="1"/>
    <x v="0"/>
    <d v="2021-11-07T00:00:00"/>
    <s v="Married"/>
    <x v="1"/>
    <x v="0"/>
    <n v="9"/>
    <x v="5"/>
    <x v="5"/>
  </r>
  <r>
    <x v="0"/>
    <m/>
    <n v="146341"/>
    <s v="Dave Armstrong"/>
    <d v="2025-07-19T00:00:00"/>
    <m/>
    <x v="1"/>
    <x v="1"/>
    <x v="1"/>
    <d v="2021-01-24T00:00:00"/>
    <s v="Married"/>
    <x v="1"/>
    <x v="0"/>
    <n v="13"/>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93B02-7B5B-4913-8C8D-7661FB2B50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11"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pivotField showAll="0">
      <items count="3">
        <item x="1"/>
        <item x="0"/>
        <item t="default"/>
      </items>
    </pivotField>
    <pivotField numFmtId="165" showAll="0"/>
    <pivotField showAll="0"/>
    <pivotField showAll="0">
      <items count="5">
        <item x="0"/>
        <item x="2"/>
        <item x="3"/>
        <item x="1"/>
        <item t="default"/>
      </items>
    </pivotField>
    <pivotField axis="axisRow"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12"/>
  </rowFields>
  <rowItems count="8">
    <i>
      <x/>
    </i>
    <i>
      <x v="1"/>
    </i>
    <i>
      <x v="2"/>
    </i>
    <i>
      <x v="3"/>
    </i>
    <i>
      <x v="4"/>
    </i>
    <i>
      <x v="5"/>
    </i>
    <i>
      <x v="6"/>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4DC974-3383-41EC-B63F-5B1B61466F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8"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pivotField showAll="0">
      <items count="3">
        <item x="1"/>
        <item x="0"/>
        <item t="default"/>
      </items>
    </pivotField>
    <pivotField numFmtId="165" showAll="0"/>
    <pivotField showAll="0"/>
    <pivotField axis="axisRow" showAll="0">
      <items count="5">
        <item x="0"/>
        <item x="2"/>
        <item x="3"/>
        <item x="1"/>
        <item t="default"/>
      </items>
    </pivotField>
    <pivotField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11"/>
  </rowFields>
  <rowItems count="5">
    <i>
      <x/>
    </i>
    <i>
      <x v="1"/>
    </i>
    <i>
      <x v="2"/>
    </i>
    <i>
      <x v="3"/>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EA340-2C44-42B2-912C-602878D6D0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6"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pivotField axis="axisRow" showAll="0">
      <items count="3">
        <item x="1"/>
        <item x="0"/>
        <item t="default"/>
      </items>
    </pivotField>
    <pivotField numFmtId="165" showAll="0"/>
    <pivotField showAll="0"/>
    <pivotField showAll="0"/>
    <pivotField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8"/>
  </rowFields>
  <rowItems count="3">
    <i>
      <x/>
    </i>
    <i>
      <x v="1"/>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ED0D42-ED84-4F48-B16E-19D3854731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F10"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items count="3">
        <item x="0"/>
        <item x="1"/>
        <item t="default"/>
      </items>
    </pivotField>
    <pivotField showAll="0">
      <items count="3">
        <item x="1"/>
        <item x="0"/>
        <item t="default"/>
      </items>
    </pivotField>
    <pivotField numFmtId="165" showAll="0"/>
    <pivotField showAll="0"/>
    <pivotField showAll="0">
      <items count="5">
        <item x="0"/>
        <item x="2"/>
        <item x="3"/>
        <item x="1"/>
        <item t="default"/>
      </items>
    </pivotField>
    <pivotField showAll="0">
      <items count="8">
        <item x="1"/>
        <item x="4"/>
        <item x="5"/>
        <item x="2"/>
        <item x="3"/>
        <item x="0"/>
        <item x="6"/>
        <item t="default"/>
      </items>
    </pivotField>
    <pivotField showAll="0"/>
    <pivotField showAll="0">
      <items count="7">
        <item x="0"/>
        <item x="1"/>
        <item x="2"/>
        <item x="3"/>
        <item x="4"/>
        <item x="5"/>
        <item t="default"/>
      </items>
    </pivotField>
    <pivotField axis="axisRow" showAll="0">
      <items count="7">
        <item x="5"/>
        <item x="4"/>
        <item x="3"/>
        <item x="2"/>
        <item x="1"/>
        <item x="0"/>
        <item t="default"/>
      </items>
    </pivotField>
  </pivotFields>
  <rowFields count="1">
    <field x="15"/>
  </rowFields>
  <rowItems count="7">
    <i>
      <x/>
    </i>
    <i>
      <x v="1"/>
    </i>
    <i>
      <x v="2"/>
    </i>
    <i>
      <x v="3"/>
    </i>
    <i>
      <x v="4"/>
    </i>
    <i>
      <x v="5"/>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8B3C20-53B5-4BAD-80FC-FAE030F9F3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B6"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axis="axisRow" showAll="0">
      <items count="3">
        <item x="0"/>
        <item x="1"/>
        <item t="default"/>
      </items>
    </pivotField>
    <pivotField showAll="0">
      <items count="3">
        <item x="1"/>
        <item x="0"/>
        <item t="default"/>
      </items>
    </pivotField>
    <pivotField numFmtId="165" showAll="0"/>
    <pivotField showAll="0"/>
    <pivotField showAll="0">
      <items count="5">
        <item x="0"/>
        <item x="2"/>
        <item x="3"/>
        <item x="1"/>
        <item t="default"/>
      </items>
    </pivotField>
    <pivotField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7"/>
  </rowFields>
  <rowItems count="3">
    <i>
      <x/>
    </i>
    <i>
      <x v="1"/>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9287E9-7565-485D-97F0-CF1F78DB08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I11" firstHeaderRow="1" firstDataRow="2" firstDataCol="1"/>
  <pivotFields count="16">
    <pivotField axis="axisCol"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pivotField showAll="0"/>
    <pivotField numFmtId="165" showAll="0"/>
    <pivotField showAll="0"/>
    <pivotField showAll="0"/>
    <pivotField showAll="0">
      <items count="8">
        <item x="1"/>
        <item x="4"/>
        <item x="5"/>
        <item x="2"/>
        <item x="3"/>
        <item x="0"/>
        <item x="6"/>
        <item t="default"/>
      </items>
    </pivotField>
    <pivotField showAll="0"/>
    <pivotField axis="axisRow" showAll="0">
      <items count="7">
        <item x="0"/>
        <item x="1"/>
        <item x="2"/>
        <item x="3"/>
        <item x="4"/>
        <item x="5"/>
        <item t="default"/>
      </items>
    </pivotField>
    <pivotField showAll="0"/>
  </pivotFields>
  <rowFields count="1">
    <field x="14"/>
  </rowFields>
  <rowItems count="7">
    <i>
      <x/>
    </i>
    <i>
      <x v="1"/>
    </i>
    <i>
      <x v="2"/>
    </i>
    <i>
      <x v="3"/>
    </i>
    <i>
      <x v="4"/>
    </i>
    <i>
      <x v="5"/>
    </i>
    <i t="grand">
      <x/>
    </i>
  </rowItems>
  <colFields count="1">
    <field x="0"/>
  </colFields>
  <colItems count="4">
    <i>
      <x/>
    </i>
    <i>
      <x v="1"/>
    </i>
    <i>
      <x v="2"/>
    </i>
    <i t="grand">
      <x/>
    </i>
  </colItem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634C70-FADB-4944-BC07-D0296E03FF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11"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axis="axisRow" showAll="0" sortType="descending">
      <items count="8">
        <item x="5"/>
        <item x="2"/>
        <item x="3"/>
        <item x="4"/>
        <item x="6"/>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numFmtId="165" showAll="0"/>
    <pivotField showAll="0"/>
    <pivotField showAll="0">
      <items count="5">
        <item x="0"/>
        <item x="2"/>
        <item x="3"/>
        <item x="1"/>
        <item t="default"/>
      </items>
    </pivotField>
    <pivotField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6"/>
  </rowFields>
  <rowItems count="8">
    <i>
      <x v="6"/>
    </i>
    <i>
      <x v="3"/>
    </i>
    <i>
      <x v="5"/>
    </i>
    <i>
      <x/>
    </i>
    <i>
      <x v="1"/>
    </i>
    <i>
      <x v="4"/>
    </i>
    <i>
      <x v="2"/>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FCCB11A-63E7-4C7F-868C-20FAFEB2B011}" sourceName="Department">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2115717374">
      <items count="7">
        <i x="1" s="1"/>
        <i x="4" s="1"/>
        <i x="5" s="1"/>
        <i x="2" s="1"/>
        <i x="3"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Manager" xr10:uid="{AC374B5E-24A0-4980-89B0-440213FC9CB5}" sourceName="Reporting Manager">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2115717374">
      <items count="7">
        <i x="5" s="1"/>
        <i x="2" s="1"/>
        <i x="3" s="1"/>
        <i x="4" s="1"/>
        <i x="6"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2B7605C-FBBA-4F41-8C82-D9CD239F668B}" cache="Slicer_Department" caption="Department" style="SlicerStyleDark1" rowHeight="241300"/>
  <slicer name="Reporting Manager" xr10:uid="{F83782EF-8FD9-4449-BC4E-D9EA404889B9}" cache="Slicer_Reporting_Manager" caption="Reporting Manager"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mailto:vijay.patil@otis.com" TargetMode="External"/><Relationship Id="rId2" Type="http://schemas.openxmlformats.org/officeDocument/2006/relationships/hyperlink" Target="mailto:Ishwarya.S@otis.com" TargetMode="External"/><Relationship Id="rId1" Type="http://schemas.openxmlformats.org/officeDocument/2006/relationships/hyperlink" Target="mailto:Prashantha.S@oti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0A868-0928-42A0-8EB9-D61807D072D9}">
  <dimension ref="A1:AG23"/>
  <sheetViews>
    <sheetView topLeftCell="M1" workbookViewId="0">
      <selection activeCell="AF8" sqref="AF8"/>
    </sheetView>
  </sheetViews>
  <sheetFormatPr defaultRowHeight="15" x14ac:dyDescent="0.25"/>
  <cols>
    <col min="1" max="1" width="14.42578125" bestFit="1" customWidth="1"/>
    <col min="2" max="2" width="16.28515625" bestFit="1" customWidth="1"/>
    <col min="3" max="3" width="9.42578125" bestFit="1" customWidth="1"/>
    <col min="4" max="4" width="8.28515625" bestFit="1" customWidth="1"/>
    <col min="5" max="5" width="14.42578125" bestFit="1" customWidth="1"/>
    <col min="6" max="6" width="16.28515625" bestFit="1" customWidth="1"/>
    <col min="7" max="7" width="9.42578125" bestFit="1" customWidth="1"/>
    <col min="8" max="8" width="8.28515625" bestFit="1" customWidth="1"/>
    <col min="9" max="9" width="11.28515625" bestFit="1" customWidth="1"/>
    <col min="10" max="10" width="2.85546875" customWidth="1"/>
    <col min="11" max="11" width="13.140625" bestFit="1" customWidth="1"/>
    <col min="12" max="12" width="14.42578125" bestFit="1" customWidth="1"/>
    <col min="13" max="13" width="7" customWidth="1"/>
    <col min="14" max="14" width="3.28515625" customWidth="1"/>
    <col min="15" max="15" width="13.140625" bestFit="1" customWidth="1"/>
    <col min="16" max="16" width="14.42578125" bestFit="1" customWidth="1"/>
    <col min="17" max="17" width="6.42578125" customWidth="1"/>
    <col min="18" max="18" width="4.140625" customWidth="1"/>
    <col min="19" max="19" width="13.140625" bestFit="1" customWidth="1"/>
    <col min="20" max="20" width="14.42578125" bestFit="1" customWidth="1"/>
    <col min="21" max="21" width="8.42578125" customWidth="1"/>
    <col min="22" max="22" width="4.5703125" customWidth="1"/>
    <col min="23" max="23" width="14.7109375" bestFit="1" customWidth="1"/>
    <col min="24" max="24" width="14.42578125" bestFit="1" customWidth="1"/>
    <col min="25" max="25" width="6.85546875" customWidth="1"/>
    <col min="26" max="26" width="3.85546875" customWidth="1"/>
    <col min="27" max="27" width="13.140625" bestFit="1" customWidth="1"/>
    <col min="28" max="28" width="14.42578125" bestFit="1" customWidth="1"/>
    <col min="29" max="29" width="6.28515625" customWidth="1"/>
    <col min="30" max="30" width="3" customWidth="1"/>
    <col min="31" max="31" width="13.140625" bestFit="1" customWidth="1"/>
    <col min="32" max="32" width="14.42578125" bestFit="1" customWidth="1"/>
    <col min="33" max="33" width="6.42578125" customWidth="1"/>
    <col min="34" max="34" width="3.85546875" customWidth="1"/>
  </cols>
  <sheetData>
    <row r="1" spans="1:33" x14ac:dyDescent="0.25">
      <c r="K1" s="10" t="s">
        <v>0</v>
      </c>
      <c r="L1" t="s">
        <v>16</v>
      </c>
      <c r="O1" s="10" t="s">
        <v>0</v>
      </c>
      <c r="P1" t="s">
        <v>16</v>
      </c>
      <c r="S1" s="10" t="s">
        <v>0</v>
      </c>
      <c r="T1" t="s">
        <v>16</v>
      </c>
      <c r="W1" s="10" t="s">
        <v>0</v>
      </c>
      <c r="X1" t="s">
        <v>16</v>
      </c>
      <c r="AA1" s="10" t="s">
        <v>0</v>
      </c>
      <c r="AB1" t="s">
        <v>16</v>
      </c>
      <c r="AE1" s="10" t="s">
        <v>0</v>
      </c>
      <c r="AF1" t="s">
        <v>16</v>
      </c>
    </row>
    <row r="3" spans="1:33" x14ac:dyDescent="0.25">
      <c r="E3" s="10" t="s">
        <v>237</v>
      </c>
      <c r="F3" s="10" t="s">
        <v>238</v>
      </c>
      <c r="K3" s="10" t="s">
        <v>240</v>
      </c>
      <c r="L3" t="s">
        <v>237</v>
      </c>
      <c r="O3" s="10" t="s">
        <v>240</v>
      </c>
      <c r="P3" t="s">
        <v>237</v>
      </c>
      <c r="S3" s="10" t="s">
        <v>240</v>
      </c>
      <c r="T3" t="s">
        <v>237</v>
      </c>
      <c r="W3" s="10" t="s">
        <v>240</v>
      </c>
      <c r="X3" t="s">
        <v>237</v>
      </c>
      <c r="AA3" s="10" t="s">
        <v>240</v>
      </c>
      <c r="AB3" t="s">
        <v>237</v>
      </c>
      <c r="AE3" s="10" t="s">
        <v>240</v>
      </c>
      <c r="AF3" t="s">
        <v>237</v>
      </c>
    </row>
    <row r="4" spans="1:33" x14ac:dyDescent="0.25">
      <c r="E4" s="10" t="s">
        <v>240</v>
      </c>
      <c r="F4" t="s">
        <v>26</v>
      </c>
      <c r="G4" t="s">
        <v>16</v>
      </c>
      <c r="H4" t="s">
        <v>142</v>
      </c>
      <c r="I4" t="s">
        <v>239</v>
      </c>
      <c r="K4" s="11" t="s">
        <v>41</v>
      </c>
      <c r="L4">
        <v>45</v>
      </c>
      <c r="O4" s="11" t="s">
        <v>21</v>
      </c>
      <c r="P4">
        <v>13</v>
      </c>
      <c r="S4" s="11" t="s">
        <v>31</v>
      </c>
      <c r="T4">
        <v>9</v>
      </c>
      <c r="W4" s="11" t="s">
        <v>40</v>
      </c>
      <c r="X4">
        <v>42</v>
      </c>
      <c r="AA4" s="11" t="s">
        <v>21</v>
      </c>
      <c r="AB4">
        <v>13</v>
      </c>
      <c r="AE4" s="11" t="s">
        <v>86</v>
      </c>
      <c r="AF4">
        <v>9</v>
      </c>
    </row>
    <row r="5" spans="1:33" x14ac:dyDescent="0.25">
      <c r="E5" s="11">
        <v>2020</v>
      </c>
      <c r="F5">
        <v>20</v>
      </c>
      <c r="G5">
        <v>23</v>
      </c>
      <c r="I5">
        <v>43</v>
      </c>
      <c r="K5" s="11" t="s">
        <v>22</v>
      </c>
      <c r="L5">
        <v>73</v>
      </c>
      <c r="O5" s="11" t="s">
        <v>95</v>
      </c>
      <c r="P5">
        <v>21</v>
      </c>
      <c r="S5" s="11" t="s">
        <v>46</v>
      </c>
      <c r="T5">
        <v>10</v>
      </c>
      <c r="W5" s="11" t="s">
        <v>60</v>
      </c>
      <c r="X5">
        <v>26</v>
      </c>
      <c r="AA5" s="11" t="s">
        <v>92</v>
      </c>
      <c r="AB5">
        <v>105</v>
      </c>
      <c r="AE5" s="11" t="s">
        <v>76</v>
      </c>
      <c r="AF5">
        <v>35</v>
      </c>
    </row>
    <row r="6" spans="1:33" x14ac:dyDescent="0.25">
      <c r="E6" s="11">
        <v>2021</v>
      </c>
      <c r="F6">
        <v>12</v>
      </c>
      <c r="G6">
        <v>12</v>
      </c>
      <c r="H6">
        <v>1</v>
      </c>
      <c r="I6">
        <v>25</v>
      </c>
      <c r="K6" s="11" t="s">
        <v>239</v>
      </c>
      <c r="L6">
        <v>118</v>
      </c>
      <c r="O6" s="11" t="s">
        <v>103</v>
      </c>
      <c r="P6">
        <v>43</v>
      </c>
      <c r="S6" s="11" t="s">
        <v>52</v>
      </c>
      <c r="T6">
        <v>25</v>
      </c>
      <c r="W6" s="11" t="s">
        <v>20</v>
      </c>
      <c r="X6">
        <v>18</v>
      </c>
      <c r="AA6" s="11" t="s">
        <v>239</v>
      </c>
      <c r="AB6">
        <v>118</v>
      </c>
      <c r="AE6" s="11" t="s">
        <v>69</v>
      </c>
      <c r="AF6">
        <v>20</v>
      </c>
    </row>
    <row r="7" spans="1:33" x14ac:dyDescent="0.25">
      <c r="E7" s="11">
        <v>2022</v>
      </c>
      <c r="F7">
        <v>10</v>
      </c>
      <c r="G7">
        <v>19</v>
      </c>
      <c r="H7">
        <v>4</v>
      </c>
      <c r="I7">
        <v>33</v>
      </c>
      <c r="O7" s="11" t="s">
        <v>30</v>
      </c>
      <c r="P7">
        <v>41</v>
      </c>
      <c r="S7" s="11" t="s">
        <v>37</v>
      </c>
      <c r="T7">
        <v>11</v>
      </c>
      <c r="W7" s="11" t="s">
        <v>68</v>
      </c>
      <c r="X7">
        <v>12</v>
      </c>
      <c r="AE7" s="11" t="s">
        <v>47</v>
      </c>
      <c r="AF7">
        <v>19</v>
      </c>
    </row>
    <row r="8" spans="1:33" x14ac:dyDescent="0.25">
      <c r="E8" s="11">
        <v>2023</v>
      </c>
      <c r="F8">
        <v>4</v>
      </c>
      <c r="G8">
        <v>30</v>
      </c>
      <c r="H8">
        <v>1</v>
      </c>
      <c r="I8">
        <v>35</v>
      </c>
      <c r="O8" s="11" t="s">
        <v>239</v>
      </c>
      <c r="P8">
        <v>118</v>
      </c>
      <c r="S8" s="11" t="s">
        <v>42</v>
      </c>
      <c r="T8">
        <v>15</v>
      </c>
      <c r="W8" s="11" t="s">
        <v>45</v>
      </c>
      <c r="X8">
        <v>9</v>
      </c>
      <c r="AE8" s="11" t="s">
        <v>34</v>
      </c>
      <c r="AF8">
        <v>13</v>
      </c>
    </row>
    <row r="9" spans="1:33" x14ac:dyDescent="0.25">
      <c r="E9" s="11">
        <v>2024</v>
      </c>
      <c r="G9">
        <v>25</v>
      </c>
      <c r="I9">
        <v>25</v>
      </c>
      <c r="S9" s="11" t="s">
        <v>24</v>
      </c>
      <c r="T9">
        <v>27</v>
      </c>
      <c r="W9" s="11" t="s">
        <v>85</v>
      </c>
      <c r="X9">
        <v>7</v>
      </c>
      <c r="AE9" s="11" t="s">
        <v>25</v>
      </c>
      <c r="AF9">
        <v>22</v>
      </c>
    </row>
    <row r="10" spans="1:33" x14ac:dyDescent="0.25">
      <c r="E10" s="11">
        <v>2025</v>
      </c>
      <c r="F10">
        <v>1</v>
      </c>
      <c r="G10">
        <v>9</v>
      </c>
      <c r="I10">
        <v>10</v>
      </c>
      <c r="S10" s="11" t="s">
        <v>65</v>
      </c>
      <c r="T10">
        <v>21</v>
      </c>
      <c r="W10" s="11" t="s">
        <v>55</v>
      </c>
      <c r="X10">
        <v>4</v>
      </c>
      <c r="AE10" s="11" t="s">
        <v>239</v>
      </c>
      <c r="AF10">
        <v>118</v>
      </c>
    </row>
    <row r="11" spans="1:33" x14ac:dyDescent="0.25">
      <c r="E11" s="11" t="s">
        <v>239</v>
      </c>
      <c r="F11">
        <v>47</v>
      </c>
      <c r="G11">
        <v>118</v>
      </c>
      <c r="H11">
        <v>6</v>
      </c>
      <c r="I11">
        <v>171</v>
      </c>
      <c r="S11" s="11" t="s">
        <v>239</v>
      </c>
      <c r="T11">
        <v>118</v>
      </c>
      <c r="W11" s="11" t="s">
        <v>239</v>
      </c>
      <c r="X11">
        <v>118</v>
      </c>
    </row>
    <row r="15" spans="1:33" x14ac:dyDescent="0.25">
      <c r="A15" s="13" t="s">
        <v>241</v>
      </c>
      <c r="B15" s="13" t="s">
        <v>242</v>
      </c>
      <c r="E15" s="13" t="s">
        <v>14</v>
      </c>
      <c r="F15" s="13" t="s">
        <v>26</v>
      </c>
      <c r="G15" s="13" t="s">
        <v>16</v>
      </c>
      <c r="H15" s="13" t="s">
        <v>142</v>
      </c>
      <c r="I15" s="13" t="s">
        <v>239</v>
      </c>
      <c r="K15" s="12" t="s">
        <v>246</v>
      </c>
      <c r="L15" s="12" t="s">
        <v>247</v>
      </c>
      <c r="M15" s="12" t="s">
        <v>248</v>
      </c>
      <c r="O15" s="13" t="s">
        <v>249</v>
      </c>
      <c r="P15" s="13" t="s">
        <v>247</v>
      </c>
      <c r="Q15" s="13" t="s">
        <v>248</v>
      </c>
      <c r="S15" s="13" t="s">
        <v>250</v>
      </c>
      <c r="T15" s="13" t="s">
        <v>247</v>
      </c>
      <c r="U15" s="13" t="s">
        <v>248</v>
      </c>
      <c r="W15" s="13" t="s">
        <v>251</v>
      </c>
      <c r="X15" s="13" t="s">
        <v>247</v>
      </c>
      <c r="Y15" s="13" t="s">
        <v>248</v>
      </c>
      <c r="AA15" s="13" t="s">
        <v>7</v>
      </c>
      <c r="AB15" s="13" t="s">
        <v>247</v>
      </c>
      <c r="AC15" s="13" t="s">
        <v>252</v>
      </c>
      <c r="AE15" s="13" t="s">
        <v>15</v>
      </c>
      <c r="AF15" s="13" t="s">
        <v>247</v>
      </c>
      <c r="AG15" s="13" t="s">
        <v>248</v>
      </c>
    </row>
    <row r="16" spans="1:33" x14ac:dyDescent="0.25">
      <c r="A16" t="s">
        <v>243</v>
      </c>
      <c r="B16">
        <f>GETPIVOTDATA("Name",$E$3)</f>
        <v>171</v>
      </c>
      <c r="E16">
        <v>2020</v>
      </c>
      <c r="F16">
        <f>IFERROR(GETPIVOTDATA("Name",$E$3,"Emp Status","Attrition","Year",E16),0)</f>
        <v>20</v>
      </c>
      <c r="G16">
        <f>IFERROR(GETPIVOTDATA("Name",$E$3,"Emp Status","On-Board","Year",E16),0)</f>
        <v>23</v>
      </c>
      <c r="H16">
        <f>IFERROR(GETPIVOTDATA("Name",$E$3,"Emp Status","Transfer","Year",E16),0)</f>
        <v>0</v>
      </c>
      <c r="I16">
        <f>G16</f>
        <v>23</v>
      </c>
      <c r="K16" t="s">
        <v>41</v>
      </c>
      <c r="L16">
        <f>IFERROR(GETPIVOTDATA("Name",$K$3,"Category",K16),0)</f>
        <v>45</v>
      </c>
      <c r="M16" s="14">
        <f>L16/$L$18</f>
        <v>0.38135593220338981</v>
      </c>
      <c r="O16" t="s">
        <v>21</v>
      </c>
      <c r="P16">
        <f>IFERROR(GETPIVOTDATA("Name",$O$3,"Grade",O16),0)</f>
        <v>13</v>
      </c>
      <c r="Q16" s="14">
        <f>P16/$P$20</f>
        <v>0.11016949152542373</v>
      </c>
      <c r="S16" t="s">
        <v>31</v>
      </c>
      <c r="T16">
        <f>IFERROR(GETPIVOTDATA("Name",$S$3,"Department",S16),0)</f>
        <v>9</v>
      </c>
      <c r="U16" s="14">
        <f>T16/$T$23</f>
        <v>7.6271186440677971E-2</v>
      </c>
      <c r="W16" s="11" t="s">
        <v>40</v>
      </c>
      <c r="X16">
        <f>IFERROR(GETPIVOTDATA("Name",$W$3,"Reporting Manager",W16),0)</f>
        <v>42</v>
      </c>
      <c r="Y16" s="14">
        <f>X16/$X$23</f>
        <v>0.3559322033898305</v>
      </c>
      <c r="AA16" t="s">
        <v>21</v>
      </c>
      <c r="AB16">
        <f>IFERROR(GETPIVOTDATA("Name",$AA$3,"Emp Type",AA16),0)</f>
        <v>13</v>
      </c>
      <c r="AC16" s="14">
        <f>AB16/$AB$18</f>
        <v>0.11016949152542373</v>
      </c>
      <c r="AE16" t="s">
        <v>86</v>
      </c>
      <c r="AF16">
        <f>IFERROR(GETPIVOTDATA("Name",$AE$3,"Stability",AE16),0)</f>
        <v>9</v>
      </c>
      <c r="AG16" s="14">
        <f>AF16/$AF$22</f>
        <v>7.6271186440677971E-2</v>
      </c>
    </row>
    <row r="17" spans="1:33" x14ac:dyDescent="0.25">
      <c r="A17" t="s">
        <v>244</v>
      </c>
      <c r="B17">
        <f>I22</f>
        <v>118</v>
      </c>
      <c r="E17">
        <v>2021</v>
      </c>
      <c r="F17">
        <f t="shared" ref="F17:F21" si="0">IFERROR(GETPIVOTDATA("Name",$E$3,"Emp Status","Attrition","Year",E17),0)</f>
        <v>12</v>
      </c>
      <c r="G17">
        <f t="shared" ref="G17:G21" si="1">IFERROR(GETPIVOTDATA("Name",$E$3,"Emp Status","On-Board","Year",E17),0)</f>
        <v>12</v>
      </c>
      <c r="H17">
        <f t="shared" ref="H17:H21" si="2">IFERROR(GETPIVOTDATA("Name",$E$3,"Emp Status","Transfer","Year",E17),0)</f>
        <v>1</v>
      </c>
      <c r="I17">
        <f>I16+G17</f>
        <v>35</v>
      </c>
      <c r="K17" t="s">
        <v>22</v>
      </c>
      <c r="L17">
        <f>IFERROR(GETPIVOTDATA("Name",$K$3,"Category",K17),0)</f>
        <v>73</v>
      </c>
      <c r="M17" s="14">
        <f t="shared" ref="M17:M18" si="3">L17/$L$18</f>
        <v>0.61864406779661019</v>
      </c>
      <c r="O17" t="s">
        <v>95</v>
      </c>
      <c r="P17">
        <f t="shared" ref="P17:P19" si="4">IFERROR(GETPIVOTDATA("Name",$O$3,"Grade",O17),0)</f>
        <v>21</v>
      </c>
      <c r="Q17" s="14">
        <f t="shared" ref="Q17:Q20" si="5">P17/$P$20</f>
        <v>0.17796610169491525</v>
      </c>
      <c r="S17" t="s">
        <v>46</v>
      </c>
      <c r="T17">
        <f t="shared" ref="T17:T22" si="6">IFERROR(GETPIVOTDATA("Name",$S$3,"Department",S17),0)</f>
        <v>10</v>
      </c>
      <c r="U17" s="14">
        <f t="shared" ref="U17:U23" si="7">T17/$T$23</f>
        <v>8.4745762711864403E-2</v>
      </c>
      <c r="W17" s="11" t="s">
        <v>60</v>
      </c>
      <c r="X17">
        <f t="shared" ref="X17:X22" si="8">IFERROR(GETPIVOTDATA("Name",$W$3,"Reporting Manager",W17),0)</f>
        <v>26</v>
      </c>
      <c r="Y17" s="14">
        <f t="shared" ref="Y17:Y23" si="9">X17/$X$23</f>
        <v>0.22033898305084745</v>
      </c>
      <c r="AA17" t="s">
        <v>92</v>
      </c>
      <c r="AB17">
        <f>IFERROR(GETPIVOTDATA("Name",$AA$3,"Emp Type",AA17),0)</f>
        <v>105</v>
      </c>
      <c r="AC17" s="14">
        <f t="shared" ref="AC17:AC18" si="10">AB17/$AB$18</f>
        <v>0.88983050847457623</v>
      </c>
      <c r="AE17" t="s">
        <v>76</v>
      </c>
      <c r="AF17">
        <f t="shared" ref="AF17:AF21" si="11">IFERROR(GETPIVOTDATA("Name",$AE$3,"Stability",AE17),0)</f>
        <v>35</v>
      </c>
      <c r="AG17" s="14">
        <f t="shared" ref="AG17:AG22" si="12">AF17/$AF$22</f>
        <v>0.29661016949152541</v>
      </c>
    </row>
    <row r="18" spans="1:33" x14ac:dyDescent="0.25">
      <c r="A18" t="s">
        <v>26</v>
      </c>
      <c r="B18">
        <f>F22</f>
        <v>47</v>
      </c>
      <c r="E18">
        <v>2022</v>
      </c>
      <c r="F18">
        <f t="shared" si="0"/>
        <v>10</v>
      </c>
      <c r="G18">
        <f t="shared" si="1"/>
        <v>19</v>
      </c>
      <c r="H18">
        <f t="shared" si="2"/>
        <v>4</v>
      </c>
      <c r="I18">
        <f t="shared" ref="I18:I21" si="13">I17+G18</f>
        <v>54</v>
      </c>
      <c r="K18" t="s">
        <v>239</v>
      </c>
      <c r="L18">
        <f>SUM(L16:L17)</f>
        <v>118</v>
      </c>
      <c r="M18" s="14">
        <f t="shared" si="3"/>
        <v>1</v>
      </c>
      <c r="O18" t="s">
        <v>103</v>
      </c>
      <c r="P18">
        <f t="shared" si="4"/>
        <v>43</v>
      </c>
      <c r="Q18" s="14">
        <f t="shared" si="5"/>
        <v>0.36440677966101692</v>
      </c>
      <c r="S18" t="s">
        <v>52</v>
      </c>
      <c r="T18">
        <f t="shared" si="6"/>
        <v>25</v>
      </c>
      <c r="U18" s="14">
        <f t="shared" si="7"/>
        <v>0.21186440677966101</v>
      </c>
      <c r="W18" s="11" t="s">
        <v>20</v>
      </c>
      <c r="X18">
        <f t="shared" si="8"/>
        <v>18</v>
      </c>
      <c r="Y18" s="14">
        <f t="shared" si="9"/>
        <v>0.15254237288135594</v>
      </c>
      <c r="AA18" t="s">
        <v>239</v>
      </c>
      <c r="AB18">
        <f>SUM(AB16:AB17)</f>
        <v>118</v>
      </c>
      <c r="AC18" s="14">
        <f t="shared" si="10"/>
        <v>1</v>
      </c>
      <c r="AE18" t="s">
        <v>69</v>
      </c>
      <c r="AF18">
        <f t="shared" si="11"/>
        <v>20</v>
      </c>
      <c r="AG18" s="14">
        <f t="shared" si="12"/>
        <v>0.16949152542372881</v>
      </c>
    </row>
    <row r="19" spans="1:33" x14ac:dyDescent="0.25">
      <c r="A19" t="s">
        <v>245</v>
      </c>
      <c r="B19" s="14">
        <f>B18/B16</f>
        <v>0.27485380116959063</v>
      </c>
      <c r="E19">
        <v>2023</v>
      </c>
      <c r="F19">
        <f t="shared" si="0"/>
        <v>4</v>
      </c>
      <c r="G19">
        <f t="shared" si="1"/>
        <v>30</v>
      </c>
      <c r="H19">
        <f t="shared" si="2"/>
        <v>1</v>
      </c>
      <c r="I19">
        <f t="shared" si="13"/>
        <v>84</v>
      </c>
      <c r="O19" t="s">
        <v>30</v>
      </c>
      <c r="P19">
        <f t="shared" si="4"/>
        <v>41</v>
      </c>
      <c r="Q19" s="14">
        <f t="shared" si="5"/>
        <v>0.34745762711864409</v>
      </c>
      <c r="S19" t="s">
        <v>37</v>
      </c>
      <c r="T19">
        <f t="shared" si="6"/>
        <v>11</v>
      </c>
      <c r="U19" s="14">
        <f t="shared" si="7"/>
        <v>9.3220338983050849E-2</v>
      </c>
      <c r="W19" s="11" t="s">
        <v>68</v>
      </c>
      <c r="X19">
        <f t="shared" si="8"/>
        <v>12</v>
      </c>
      <c r="Y19" s="14">
        <f t="shared" si="9"/>
        <v>0.10169491525423729</v>
      </c>
      <c r="AE19" t="s">
        <v>47</v>
      </c>
      <c r="AF19">
        <f t="shared" si="11"/>
        <v>19</v>
      </c>
      <c r="AG19" s="14">
        <f t="shared" si="12"/>
        <v>0.16101694915254236</v>
      </c>
    </row>
    <row r="20" spans="1:33" x14ac:dyDescent="0.25">
      <c r="A20" t="s">
        <v>142</v>
      </c>
      <c r="B20">
        <f>H22</f>
        <v>6</v>
      </c>
      <c r="E20">
        <v>2024</v>
      </c>
      <c r="F20">
        <f t="shared" si="0"/>
        <v>0</v>
      </c>
      <c r="G20">
        <f t="shared" si="1"/>
        <v>25</v>
      </c>
      <c r="H20">
        <f t="shared" si="2"/>
        <v>0</v>
      </c>
      <c r="I20">
        <f t="shared" si="13"/>
        <v>109</v>
      </c>
      <c r="O20" t="s">
        <v>239</v>
      </c>
      <c r="P20">
        <f>SUM(P16:P19)</f>
        <v>118</v>
      </c>
      <c r="Q20" s="14">
        <f t="shared" si="5"/>
        <v>1</v>
      </c>
      <c r="S20" t="s">
        <v>42</v>
      </c>
      <c r="T20">
        <f t="shared" si="6"/>
        <v>15</v>
      </c>
      <c r="U20" s="14">
        <f t="shared" si="7"/>
        <v>0.1271186440677966</v>
      </c>
      <c r="W20" s="11" t="s">
        <v>45</v>
      </c>
      <c r="X20">
        <f t="shared" si="8"/>
        <v>9</v>
      </c>
      <c r="Y20" s="14">
        <f t="shared" si="9"/>
        <v>7.6271186440677971E-2</v>
      </c>
      <c r="AE20" t="s">
        <v>34</v>
      </c>
      <c r="AF20">
        <f t="shared" si="11"/>
        <v>13</v>
      </c>
      <c r="AG20" s="14">
        <f t="shared" si="12"/>
        <v>0.11016949152542373</v>
      </c>
    </row>
    <row r="21" spans="1:33" x14ac:dyDescent="0.25">
      <c r="E21">
        <v>2025</v>
      </c>
      <c r="F21">
        <f t="shared" si="0"/>
        <v>1</v>
      </c>
      <c r="G21">
        <f t="shared" si="1"/>
        <v>9</v>
      </c>
      <c r="H21">
        <f t="shared" si="2"/>
        <v>0</v>
      </c>
      <c r="I21">
        <f t="shared" si="13"/>
        <v>118</v>
      </c>
      <c r="S21" t="s">
        <v>24</v>
      </c>
      <c r="T21">
        <f t="shared" si="6"/>
        <v>27</v>
      </c>
      <c r="U21" s="14">
        <f t="shared" si="7"/>
        <v>0.2288135593220339</v>
      </c>
      <c r="W21" s="11" t="s">
        <v>85</v>
      </c>
      <c r="X21">
        <f t="shared" si="8"/>
        <v>7</v>
      </c>
      <c r="Y21" s="14">
        <f t="shared" si="9"/>
        <v>5.9322033898305086E-2</v>
      </c>
      <c r="AE21" t="s">
        <v>25</v>
      </c>
      <c r="AF21">
        <f t="shared" si="11"/>
        <v>22</v>
      </c>
      <c r="AG21" s="14">
        <f t="shared" si="12"/>
        <v>0.1864406779661017</v>
      </c>
    </row>
    <row r="22" spans="1:33" x14ac:dyDescent="0.25">
      <c r="E22" s="12" t="s">
        <v>239</v>
      </c>
      <c r="F22" s="12">
        <f>SUM(F16:F21)</f>
        <v>47</v>
      </c>
      <c r="G22" s="12">
        <f>SUM(G16:G21)</f>
        <v>118</v>
      </c>
      <c r="H22" s="12">
        <f>SUM(H16:H21)</f>
        <v>6</v>
      </c>
      <c r="I22" s="12">
        <f>G22</f>
        <v>118</v>
      </c>
      <c r="S22" t="s">
        <v>65</v>
      </c>
      <c r="T22">
        <f t="shared" si="6"/>
        <v>21</v>
      </c>
      <c r="U22" s="14">
        <f t="shared" si="7"/>
        <v>0.17796610169491525</v>
      </c>
      <c r="W22" s="11" t="s">
        <v>55</v>
      </c>
      <c r="X22">
        <f t="shared" si="8"/>
        <v>4</v>
      </c>
      <c r="Y22" s="14">
        <f t="shared" si="9"/>
        <v>3.3898305084745763E-2</v>
      </c>
      <c r="AE22" t="s">
        <v>239</v>
      </c>
      <c r="AF22">
        <f>SUM(AF16:AF21)</f>
        <v>118</v>
      </c>
      <c r="AG22" s="14">
        <f t="shared" si="12"/>
        <v>1</v>
      </c>
    </row>
    <row r="23" spans="1:33" x14ac:dyDescent="0.25">
      <c r="S23" t="s">
        <v>239</v>
      </c>
      <c r="T23">
        <f>SUM(T16:T22)</f>
        <v>118</v>
      </c>
      <c r="U23" s="14">
        <f t="shared" si="7"/>
        <v>1</v>
      </c>
      <c r="W23" t="s">
        <v>239</v>
      </c>
      <c r="X23">
        <f>SUM(X16:X22)</f>
        <v>118</v>
      </c>
      <c r="Y23" s="14">
        <f t="shared" si="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CEC5F-D81E-44B3-9CF5-9A3933248330}">
  <dimension ref="A1"/>
  <sheetViews>
    <sheetView showGridLines="0" tabSelected="1" workbookViewId="0">
      <selection activeCell="L34" sqref="L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B751F-004A-4978-AF74-4DD67598C33C}">
  <dimension ref="A1:P172"/>
  <sheetViews>
    <sheetView workbookViewId="0">
      <selection activeCell="I18" sqref="I18"/>
    </sheetView>
  </sheetViews>
  <sheetFormatPr defaultRowHeight="15" x14ac:dyDescent="0.25"/>
  <sheetData>
    <row r="1" spans="1:16" ht="38.25" x14ac:dyDescent="0.25">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row>
    <row r="2" spans="1:16" x14ac:dyDescent="0.25">
      <c r="A2" s="3" t="s">
        <v>16</v>
      </c>
      <c r="B2" s="3" t="s">
        <v>17</v>
      </c>
      <c r="C2" s="4" t="s">
        <v>18</v>
      </c>
      <c r="D2" s="5" t="s">
        <v>19</v>
      </c>
      <c r="E2" s="6">
        <v>43950</v>
      </c>
      <c r="F2" s="6"/>
      <c r="G2" s="7" t="s">
        <v>20</v>
      </c>
      <c r="H2" s="4" t="s">
        <v>21</v>
      </c>
      <c r="I2" s="4" t="s">
        <v>22</v>
      </c>
      <c r="J2" s="8">
        <v>44390</v>
      </c>
      <c r="K2" s="8" t="s">
        <v>23</v>
      </c>
      <c r="L2" s="5" t="s">
        <v>21</v>
      </c>
      <c r="M2" s="5" t="s">
        <v>24</v>
      </c>
      <c r="N2" s="5">
        <v>0</v>
      </c>
      <c r="O2" s="9">
        <v>2020</v>
      </c>
      <c r="P2" s="9" t="s">
        <v>25</v>
      </c>
    </row>
    <row r="3" spans="1:16" x14ac:dyDescent="0.25">
      <c r="A3" s="3" t="s">
        <v>26</v>
      </c>
      <c r="B3" s="3"/>
      <c r="C3" s="4" t="s">
        <v>27</v>
      </c>
      <c r="D3" s="5" t="s">
        <v>28</v>
      </c>
      <c r="E3" s="6">
        <v>44075</v>
      </c>
      <c r="F3" s="6">
        <v>44183</v>
      </c>
      <c r="G3" s="7" t="s">
        <v>20</v>
      </c>
      <c r="H3" s="4" t="s">
        <v>21</v>
      </c>
      <c r="I3" s="4" t="s">
        <v>22</v>
      </c>
      <c r="J3" s="8">
        <v>44472</v>
      </c>
      <c r="K3" s="8" t="s">
        <v>29</v>
      </c>
      <c r="L3" s="5" t="s">
        <v>30</v>
      </c>
      <c r="M3" s="5" t="s">
        <v>31</v>
      </c>
      <c r="N3" s="5">
        <v>6.5</v>
      </c>
      <c r="O3" s="9">
        <v>2020</v>
      </c>
      <c r="P3" s="9" t="s">
        <v>25</v>
      </c>
    </row>
    <row r="4" spans="1:16" x14ac:dyDescent="0.25">
      <c r="A4" s="3" t="s">
        <v>16</v>
      </c>
      <c r="B4" s="3"/>
      <c r="C4" s="4" t="s">
        <v>32</v>
      </c>
      <c r="D4" s="5" t="s">
        <v>33</v>
      </c>
      <c r="E4" s="6">
        <v>44197</v>
      </c>
      <c r="F4" s="6"/>
      <c r="G4" s="7" t="s">
        <v>20</v>
      </c>
      <c r="H4" s="4" t="s">
        <v>21</v>
      </c>
      <c r="I4" s="4" t="s">
        <v>22</v>
      </c>
      <c r="J4" s="8">
        <v>44236</v>
      </c>
      <c r="K4" s="8" t="s">
        <v>23</v>
      </c>
      <c r="L4" s="5" t="s">
        <v>21</v>
      </c>
      <c r="M4" s="5" t="s">
        <v>24</v>
      </c>
      <c r="N4" s="5">
        <v>4.8</v>
      </c>
      <c r="O4" s="9">
        <v>2021</v>
      </c>
      <c r="P4" s="9" t="s">
        <v>34</v>
      </c>
    </row>
    <row r="5" spans="1:16" x14ac:dyDescent="0.25">
      <c r="A5" s="3" t="s">
        <v>16</v>
      </c>
      <c r="B5" s="3"/>
      <c r="C5" s="4" t="s">
        <v>35</v>
      </c>
      <c r="D5" s="5" t="s">
        <v>36</v>
      </c>
      <c r="E5" s="6">
        <v>44236</v>
      </c>
      <c r="F5" s="6"/>
      <c r="G5" s="7" t="s">
        <v>20</v>
      </c>
      <c r="H5" s="4" t="s">
        <v>21</v>
      </c>
      <c r="I5" s="4" t="s">
        <v>22</v>
      </c>
      <c r="J5" s="8">
        <v>44269</v>
      </c>
      <c r="K5" s="8" t="s">
        <v>23</v>
      </c>
      <c r="L5" s="5" t="s">
        <v>21</v>
      </c>
      <c r="M5" s="5" t="s">
        <v>37</v>
      </c>
      <c r="N5" s="5">
        <v>14</v>
      </c>
      <c r="O5" s="9">
        <v>2021</v>
      </c>
      <c r="P5" s="9" t="s">
        <v>34</v>
      </c>
    </row>
    <row r="6" spans="1:16" x14ac:dyDescent="0.25">
      <c r="A6" s="3" t="s">
        <v>26</v>
      </c>
      <c r="B6" s="3"/>
      <c r="C6" s="4" t="s">
        <v>38</v>
      </c>
      <c r="D6" s="5" t="s">
        <v>39</v>
      </c>
      <c r="E6" s="6">
        <v>44469</v>
      </c>
      <c r="F6" s="6">
        <v>44834</v>
      </c>
      <c r="G6" s="7" t="s">
        <v>40</v>
      </c>
      <c r="H6" s="4" t="s">
        <v>21</v>
      </c>
      <c r="I6" s="4" t="s">
        <v>41</v>
      </c>
      <c r="J6" s="8">
        <v>44297</v>
      </c>
      <c r="K6" s="8" t="s">
        <v>23</v>
      </c>
      <c r="L6" s="5" t="s">
        <v>21</v>
      </c>
      <c r="M6" s="5" t="s">
        <v>42</v>
      </c>
      <c r="N6" s="5">
        <v>0</v>
      </c>
      <c r="O6" s="9">
        <v>2021</v>
      </c>
      <c r="P6" s="9" t="s">
        <v>34</v>
      </c>
    </row>
    <row r="7" spans="1:16" x14ac:dyDescent="0.25">
      <c r="A7" s="3" t="s">
        <v>26</v>
      </c>
      <c r="B7" s="3"/>
      <c r="C7" s="4" t="s">
        <v>43</v>
      </c>
      <c r="D7" s="5" t="s">
        <v>44</v>
      </c>
      <c r="E7" s="6">
        <v>44655</v>
      </c>
      <c r="F7" s="6">
        <v>44758</v>
      </c>
      <c r="G7" s="5" t="s">
        <v>45</v>
      </c>
      <c r="H7" s="4" t="s">
        <v>21</v>
      </c>
      <c r="I7" s="4" t="s">
        <v>22</v>
      </c>
      <c r="J7" s="8">
        <v>44431</v>
      </c>
      <c r="K7" s="8" t="s">
        <v>23</v>
      </c>
      <c r="L7" s="5" t="s">
        <v>21</v>
      </c>
      <c r="M7" s="5" t="s">
        <v>46</v>
      </c>
      <c r="N7" s="5">
        <v>2</v>
      </c>
      <c r="O7" s="9">
        <v>2022</v>
      </c>
      <c r="P7" s="9" t="s">
        <v>47</v>
      </c>
    </row>
    <row r="8" spans="1:16" x14ac:dyDescent="0.25">
      <c r="A8" s="3" t="s">
        <v>26</v>
      </c>
      <c r="B8" s="3"/>
      <c r="C8" s="4" t="s">
        <v>48</v>
      </c>
      <c r="D8" s="5" t="s">
        <v>49</v>
      </c>
      <c r="E8" s="6">
        <v>44715</v>
      </c>
      <c r="F8" s="6">
        <v>44951</v>
      </c>
      <c r="G8" s="7" t="s">
        <v>40</v>
      </c>
      <c r="H8" s="4" t="s">
        <v>21</v>
      </c>
      <c r="I8" s="4" t="s">
        <v>22</v>
      </c>
      <c r="J8" s="8">
        <v>44226</v>
      </c>
      <c r="K8" s="8" t="s">
        <v>23</v>
      </c>
      <c r="L8" s="5" t="s">
        <v>21</v>
      </c>
      <c r="M8" s="5" t="s">
        <v>42</v>
      </c>
      <c r="N8" s="5">
        <v>2.8</v>
      </c>
      <c r="O8" s="9">
        <v>2022</v>
      </c>
      <c r="P8" s="9" t="s">
        <v>47</v>
      </c>
    </row>
    <row r="9" spans="1:16" x14ac:dyDescent="0.25">
      <c r="A9" s="3" t="s">
        <v>26</v>
      </c>
      <c r="B9" s="3"/>
      <c r="C9" s="4" t="s">
        <v>50</v>
      </c>
      <c r="D9" s="5" t="s">
        <v>51</v>
      </c>
      <c r="E9" s="6">
        <v>44721</v>
      </c>
      <c r="F9" s="6">
        <v>45149</v>
      </c>
      <c r="G9" s="7" t="s">
        <v>40</v>
      </c>
      <c r="H9" s="4" t="s">
        <v>21</v>
      </c>
      <c r="I9" s="4" t="s">
        <v>22</v>
      </c>
      <c r="J9" s="8">
        <v>44497</v>
      </c>
      <c r="K9" s="8" t="s">
        <v>23</v>
      </c>
      <c r="L9" s="5" t="s">
        <v>21</v>
      </c>
      <c r="M9" s="5" t="s">
        <v>52</v>
      </c>
      <c r="N9" s="5">
        <v>0</v>
      </c>
      <c r="O9" s="9">
        <v>2022</v>
      </c>
      <c r="P9" s="9" t="s">
        <v>47</v>
      </c>
    </row>
    <row r="10" spans="1:16" x14ac:dyDescent="0.25">
      <c r="A10" s="3" t="s">
        <v>26</v>
      </c>
      <c r="B10" s="3"/>
      <c r="C10" s="4" t="s">
        <v>53</v>
      </c>
      <c r="D10" s="5" t="s">
        <v>54</v>
      </c>
      <c r="E10" s="6">
        <v>44749</v>
      </c>
      <c r="F10" s="6">
        <v>45168</v>
      </c>
      <c r="G10" s="5" t="s">
        <v>55</v>
      </c>
      <c r="H10" s="4" t="s">
        <v>21</v>
      </c>
      <c r="I10" s="4" t="s">
        <v>22</v>
      </c>
      <c r="J10" s="8">
        <v>44556</v>
      </c>
      <c r="K10" s="8" t="s">
        <v>23</v>
      </c>
      <c r="L10" s="5" t="s">
        <v>21</v>
      </c>
      <c r="M10" s="5" t="s">
        <v>52</v>
      </c>
      <c r="N10" s="5">
        <v>3</v>
      </c>
      <c r="O10" s="9">
        <v>2022</v>
      </c>
      <c r="P10" s="9" t="s">
        <v>47</v>
      </c>
    </row>
    <row r="11" spans="1:16" x14ac:dyDescent="0.25">
      <c r="A11" s="3" t="s">
        <v>26</v>
      </c>
      <c r="B11" s="3"/>
      <c r="C11" s="4" t="s">
        <v>56</v>
      </c>
      <c r="D11" s="5" t="s">
        <v>57</v>
      </c>
      <c r="E11" s="6">
        <v>44777</v>
      </c>
      <c r="F11" s="6">
        <v>45059</v>
      </c>
      <c r="G11" s="7" t="s">
        <v>40</v>
      </c>
      <c r="H11" s="4" t="s">
        <v>21</v>
      </c>
      <c r="I11" s="4" t="s">
        <v>22</v>
      </c>
      <c r="J11" s="8">
        <v>44293</v>
      </c>
      <c r="K11" s="8" t="s">
        <v>23</v>
      </c>
      <c r="L11" s="5" t="s">
        <v>21</v>
      </c>
      <c r="M11" s="5" t="s">
        <v>37</v>
      </c>
      <c r="N11" s="5">
        <v>5.9</v>
      </c>
      <c r="O11" s="9">
        <v>2022</v>
      </c>
      <c r="P11" s="9" t="s">
        <v>47</v>
      </c>
    </row>
    <row r="12" spans="1:16" x14ac:dyDescent="0.25">
      <c r="A12" s="3" t="s">
        <v>16</v>
      </c>
      <c r="B12" s="3"/>
      <c r="C12" s="4" t="s">
        <v>58</v>
      </c>
      <c r="D12" s="5" t="s">
        <v>59</v>
      </c>
      <c r="E12" s="6">
        <v>44805</v>
      </c>
      <c r="F12" s="6"/>
      <c r="G12" s="7" t="s">
        <v>60</v>
      </c>
      <c r="H12" s="4" t="s">
        <v>21</v>
      </c>
      <c r="I12" s="4" t="s">
        <v>22</v>
      </c>
      <c r="J12" s="8">
        <v>44487</v>
      </c>
      <c r="K12" s="8" t="s">
        <v>29</v>
      </c>
      <c r="L12" s="5" t="s">
        <v>21</v>
      </c>
      <c r="M12" s="5" t="s">
        <v>46</v>
      </c>
      <c r="N12" s="5">
        <v>10</v>
      </c>
      <c r="O12" s="9">
        <v>2022</v>
      </c>
      <c r="P12" s="9" t="s">
        <v>47</v>
      </c>
    </row>
    <row r="13" spans="1:16" x14ac:dyDescent="0.25">
      <c r="A13" s="3" t="s">
        <v>26</v>
      </c>
      <c r="B13" s="3"/>
      <c r="C13" s="4" t="s">
        <v>61</v>
      </c>
      <c r="D13" s="5" t="s">
        <v>62</v>
      </c>
      <c r="E13" s="6">
        <v>44812</v>
      </c>
      <c r="F13" s="6">
        <v>45290</v>
      </c>
      <c r="G13" s="7" t="s">
        <v>60</v>
      </c>
      <c r="H13" s="4" t="s">
        <v>21</v>
      </c>
      <c r="I13" s="4" t="s">
        <v>41</v>
      </c>
      <c r="J13" s="8">
        <v>44312</v>
      </c>
      <c r="K13" s="8" t="s">
        <v>23</v>
      </c>
      <c r="L13" s="5" t="s">
        <v>21</v>
      </c>
      <c r="M13" s="5" t="s">
        <v>42</v>
      </c>
      <c r="N13" s="5">
        <v>1</v>
      </c>
      <c r="O13" s="9">
        <v>2022</v>
      </c>
      <c r="P13" s="9" t="s">
        <v>47</v>
      </c>
    </row>
    <row r="14" spans="1:16" x14ac:dyDescent="0.25">
      <c r="A14" s="3" t="s">
        <v>16</v>
      </c>
      <c r="B14" s="3"/>
      <c r="C14" s="4" t="s">
        <v>63</v>
      </c>
      <c r="D14" s="5" t="s">
        <v>64</v>
      </c>
      <c r="E14" s="6">
        <v>44873</v>
      </c>
      <c r="F14" s="6"/>
      <c r="G14" s="7" t="s">
        <v>60</v>
      </c>
      <c r="H14" s="4" t="s">
        <v>21</v>
      </c>
      <c r="I14" s="4" t="s">
        <v>22</v>
      </c>
      <c r="J14" s="8">
        <v>44496</v>
      </c>
      <c r="K14" s="8" t="s">
        <v>29</v>
      </c>
      <c r="L14" s="5" t="s">
        <v>21</v>
      </c>
      <c r="M14" s="5" t="s">
        <v>65</v>
      </c>
      <c r="N14" s="5">
        <v>10</v>
      </c>
      <c r="O14" s="9">
        <v>2022</v>
      </c>
      <c r="P14" s="9" t="s">
        <v>47</v>
      </c>
    </row>
    <row r="15" spans="1:16" x14ac:dyDescent="0.25">
      <c r="A15" s="3" t="s">
        <v>26</v>
      </c>
      <c r="B15" s="3"/>
      <c r="C15" s="4" t="s">
        <v>66</v>
      </c>
      <c r="D15" s="5" t="s">
        <v>67</v>
      </c>
      <c r="E15" s="6">
        <v>44947</v>
      </c>
      <c r="F15" s="6">
        <v>45251</v>
      </c>
      <c r="G15" s="7" t="s">
        <v>68</v>
      </c>
      <c r="H15" s="4" t="s">
        <v>21</v>
      </c>
      <c r="I15" s="4" t="s">
        <v>22</v>
      </c>
      <c r="J15" s="8">
        <v>44445</v>
      </c>
      <c r="K15" s="8" t="s">
        <v>23</v>
      </c>
      <c r="L15" s="5" t="s">
        <v>21</v>
      </c>
      <c r="M15" s="5" t="s">
        <v>42</v>
      </c>
      <c r="N15" s="5">
        <v>0</v>
      </c>
      <c r="O15" s="9">
        <v>2023</v>
      </c>
      <c r="P15" s="9" t="s">
        <v>69</v>
      </c>
    </row>
    <row r="16" spans="1:16" x14ac:dyDescent="0.25">
      <c r="A16" s="3" t="s">
        <v>26</v>
      </c>
      <c r="B16" s="3"/>
      <c r="C16" s="4" t="s">
        <v>70</v>
      </c>
      <c r="D16" s="5" t="s">
        <v>71</v>
      </c>
      <c r="E16" s="6">
        <v>45083</v>
      </c>
      <c r="F16" s="6">
        <v>45415</v>
      </c>
      <c r="G16" s="7" t="s">
        <v>68</v>
      </c>
      <c r="H16" s="4" t="s">
        <v>21</v>
      </c>
      <c r="I16" s="4" t="s">
        <v>41</v>
      </c>
      <c r="J16" s="8">
        <v>44620</v>
      </c>
      <c r="K16" s="8" t="s">
        <v>23</v>
      </c>
      <c r="L16" s="5" t="s">
        <v>21</v>
      </c>
      <c r="M16" s="5" t="s">
        <v>52</v>
      </c>
      <c r="N16" s="5">
        <v>0.1</v>
      </c>
      <c r="O16" s="9">
        <v>2023</v>
      </c>
      <c r="P16" s="9" t="s">
        <v>69</v>
      </c>
    </row>
    <row r="17" spans="1:16" x14ac:dyDescent="0.25">
      <c r="A17" s="3" t="s">
        <v>16</v>
      </c>
      <c r="B17" s="3"/>
      <c r="C17" s="4" t="s">
        <v>72</v>
      </c>
      <c r="D17" s="5" t="s">
        <v>73</v>
      </c>
      <c r="E17" s="6">
        <v>45218</v>
      </c>
      <c r="F17" s="6"/>
      <c r="G17" s="7" t="s">
        <v>68</v>
      </c>
      <c r="H17" s="4" t="s">
        <v>21</v>
      </c>
      <c r="I17" s="4" t="s">
        <v>41</v>
      </c>
      <c r="J17" s="8">
        <v>44830</v>
      </c>
      <c r="K17" s="8" t="s">
        <v>23</v>
      </c>
      <c r="L17" s="5" t="s">
        <v>21</v>
      </c>
      <c r="M17" s="5" t="s">
        <v>52</v>
      </c>
      <c r="N17" s="5">
        <v>0</v>
      </c>
      <c r="O17" s="9">
        <v>2023</v>
      </c>
      <c r="P17" s="9" t="s">
        <v>69</v>
      </c>
    </row>
    <row r="18" spans="1:16" x14ac:dyDescent="0.25">
      <c r="A18" s="3" t="s">
        <v>16</v>
      </c>
      <c r="B18" s="3"/>
      <c r="C18" s="4" t="s">
        <v>74</v>
      </c>
      <c r="D18" s="5" t="s">
        <v>75</v>
      </c>
      <c r="E18" s="6">
        <v>45274</v>
      </c>
      <c r="F18" s="6"/>
      <c r="G18" s="7" t="s">
        <v>68</v>
      </c>
      <c r="H18" s="4" t="s">
        <v>21</v>
      </c>
      <c r="I18" s="4" t="s">
        <v>41</v>
      </c>
      <c r="J18" s="8">
        <v>44877</v>
      </c>
      <c r="K18" s="8" t="s">
        <v>23</v>
      </c>
      <c r="L18" s="5" t="s">
        <v>21</v>
      </c>
      <c r="M18" s="5" t="s">
        <v>37</v>
      </c>
      <c r="N18" s="5">
        <v>4</v>
      </c>
      <c r="O18" s="9">
        <v>2023</v>
      </c>
      <c r="P18" s="9" t="s">
        <v>76</v>
      </c>
    </row>
    <row r="19" spans="1:16" x14ac:dyDescent="0.25">
      <c r="A19" s="3" t="s">
        <v>16</v>
      </c>
      <c r="B19" s="3"/>
      <c r="C19" s="4" t="s">
        <v>77</v>
      </c>
      <c r="D19" s="5" t="s">
        <v>78</v>
      </c>
      <c r="E19" s="6">
        <v>45328</v>
      </c>
      <c r="F19" s="6"/>
      <c r="G19" s="7" t="s">
        <v>20</v>
      </c>
      <c r="H19" s="4" t="s">
        <v>21</v>
      </c>
      <c r="I19" s="4" t="s">
        <v>22</v>
      </c>
      <c r="J19" s="8">
        <v>44558</v>
      </c>
      <c r="K19" s="8" t="s">
        <v>23</v>
      </c>
      <c r="L19" s="5" t="s">
        <v>21</v>
      </c>
      <c r="M19" s="5" t="s">
        <v>52</v>
      </c>
      <c r="N19" s="5">
        <v>0</v>
      </c>
      <c r="O19" s="9">
        <v>2024</v>
      </c>
      <c r="P19" s="9" t="s">
        <v>76</v>
      </c>
    </row>
    <row r="20" spans="1:16" x14ac:dyDescent="0.25">
      <c r="A20" s="3" t="s">
        <v>16</v>
      </c>
      <c r="B20" s="3"/>
      <c r="C20" s="4" t="s">
        <v>79</v>
      </c>
      <c r="D20" s="5" t="s">
        <v>80</v>
      </c>
      <c r="E20" s="6">
        <v>45378</v>
      </c>
      <c r="F20" s="6"/>
      <c r="G20" s="7" t="s">
        <v>68</v>
      </c>
      <c r="H20" s="4" t="s">
        <v>21</v>
      </c>
      <c r="I20" s="4" t="s">
        <v>22</v>
      </c>
      <c r="J20" s="8">
        <v>37686</v>
      </c>
      <c r="K20" s="8" t="s">
        <v>29</v>
      </c>
      <c r="L20" s="5" t="s">
        <v>21</v>
      </c>
      <c r="M20" s="5" t="s">
        <v>42</v>
      </c>
      <c r="N20" s="5">
        <v>10</v>
      </c>
      <c r="O20" s="9">
        <v>2024</v>
      </c>
      <c r="P20" s="9" t="s">
        <v>76</v>
      </c>
    </row>
    <row r="21" spans="1:16" x14ac:dyDescent="0.25">
      <c r="A21" s="3" t="s">
        <v>16</v>
      </c>
      <c r="B21" s="3"/>
      <c r="C21" s="4" t="s">
        <v>81</v>
      </c>
      <c r="D21" s="5" t="s">
        <v>82</v>
      </c>
      <c r="E21" s="6">
        <v>45444</v>
      </c>
      <c r="F21" s="6"/>
      <c r="G21" s="7" t="s">
        <v>68</v>
      </c>
      <c r="H21" s="4" t="s">
        <v>21</v>
      </c>
      <c r="I21" s="4" t="s">
        <v>41</v>
      </c>
      <c r="J21" s="8">
        <v>44898</v>
      </c>
      <c r="K21" s="8" t="s">
        <v>29</v>
      </c>
      <c r="L21" s="5" t="s">
        <v>21</v>
      </c>
      <c r="M21" s="5" t="s">
        <v>37</v>
      </c>
      <c r="N21" s="5">
        <v>4</v>
      </c>
      <c r="O21" s="9">
        <v>2024</v>
      </c>
      <c r="P21" s="9" t="s">
        <v>76</v>
      </c>
    </row>
    <row r="22" spans="1:16" x14ac:dyDescent="0.25">
      <c r="A22" s="3" t="s">
        <v>16</v>
      </c>
      <c r="B22" s="3"/>
      <c r="C22" s="4" t="s">
        <v>83</v>
      </c>
      <c r="D22" s="5" t="s">
        <v>84</v>
      </c>
      <c r="E22" s="6">
        <v>45662</v>
      </c>
      <c r="F22" s="6"/>
      <c r="G22" s="5" t="s">
        <v>85</v>
      </c>
      <c r="H22" s="4" t="s">
        <v>21</v>
      </c>
      <c r="I22" s="4" t="s">
        <v>41</v>
      </c>
      <c r="J22" s="8">
        <v>44338</v>
      </c>
      <c r="K22" s="8" t="s">
        <v>29</v>
      </c>
      <c r="L22" s="5" t="s">
        <v>21</v>
      </c>
      <c r="M22" s="5" t="s">
        <v>46</v>
      </c>
      <c r="N22" s="5">
        <v>4.8</v>
      </c>
      <c r="O22" s="9">
        <v>2025</v>
      </c>
      <c r="P22" s="9" t="s">
        <v>86</v>
      </c>
    </row>
    <row r="23" spans="1:16" x14ac:dyDescent="0.25">
      <c r="A23" s="3" t="s">
        <v>16</v>
      </c>
      <c r="B23" s="3"/>
      <c r="C23" s="4" t="s">
        <v>87</v>
      </c>
      <c r="D23" s="5" t="s">
        <v>88</v>
      </c>
      <c r="E23" s="6">
        <v>45671</v>
      </c>
      <c r="F23" s="6"/>
      <c r="G23" s="5" t="s">
        <v>85</v>
      </c>
      <c r="H23" s="4" t="s">
        <v>21</v>
      </c>
      <c r="I23" s="4" t="s">
        <v>22</v>
      </c>
      <c r="J23" s="8">
        <v>44236</v>
      </c>
      <c r="K23" s="8" t="s">
        <v>23</v>
      </c>
      <c r="L23" s="5" t="s">
        <v>21</v>
      </c>
      <c r="M23" s="5" t="s">
        <v>24</v>
      </c>
      <c r="N23" s="5">
        <v>9</v>
      </c>
      <c r="O23" s="9">
        <v>2025</v>
      </c>
      <c r="P23" s="9" t="s">
        <v>86</v>
      </c>
    </row>
    <row r="24" spans="1:16" x14ac:dyDescent="0.25">
      <c r="A24" s="3" t="s">
        <v>16</v>
      </c>
      <c r="B24" s="3"/>
      <c r="C24" s="4" t="s">
        <v>89</v>
      </c>
      <c r="D24" s="5" t="s">
        <v>90</v>
      </c>
      <c r="E24" s="6">
        <v>45775</v>
      </c>
      <c r="F24" s="6"/>
      <c r="G24" s="7" t="s">
        <v>40</v>
      </c>
      <c r="H24" s="4" t="s">
        <v>21</v>
      </c>
      <c r="I24" s="4" t="s">
        <v>22</v>
      </c>
      <c r="J24" s="8">
        <v>44536</v>
      </c>
      <c r="K24" s="8" t="s">
        <v>29</v>
      </c>
      <c r="L24" s="5" t="s">
        <v>21</v>
      </c>
      <c r="M24" s="5" t="s">
        <v>42</v>
      </c>
      <c r="N24" s="5">
        <v>8</v>
      </c>
      <c r="O24" s="9">
        <v>2025</v>
      </c>
      <c r="P24" s="9" t="s">
        <v>86</v>
      </c>
    </row>
    <row r="25" spans="1:16" x14ac:dyDescent="0.25">
      <c r="A25" s="3" t="s">
        <v>16</v>
      </c>
      <c r="B25" s="3" t="s">
        <v>17</v>
      </c>
      <c r="C25" s="4">
        <v>107224</v>
      </c>
      <c r="D25" s="5" t="s">
        <v>91</v>
      </c>
      <c r="E25" s="6">
        <v>43867</v>
      </c>
      <c r="F25" s="6"/>
      <c r="G25" s="7" t="s">
        <v>20</v>
      </c>
      <c r="H25" s="4" t="s">
        <v>92</v>
      </c>
      <c r="I25" s="4" t="s">
        <v>22</v>
      </c>
      <c r="J25" s="8">
        <v>44433</v>
      </c>
      <c r="K25" s="8" t="s">
        <v>23</v>
      </c>
      <c r="L25" s="5" t="s">
        <v>30</v>
      </c>
      <c r="M25" s="5" t="s">
        <v>24</v>
      </c>
      <c r="N25" s="5">
        <v>13</v>
      </c>
      <c r="O25" s="9">
        <v>2020</v>
      </c>
      <c r="P25" s="9" t="s">
        <v>25</v>
      </c>
    </row>
    <row r="26" spans="1:16" x14ac:dyDescent="0.25">
      <c r="A26" s="3" t="s">
        <v>26</v>
      </c>
      <c r="B26" s="3" t="s">
        <v>17</v>
      </c>
      <c r="C26" s="4">
        <v>148467</v>
      </c>
      <c r="D26" s="5" t="s">
        <v>93</v>
      </c>
      <c r="E26" s="6">
        <v>43869</v>
      </c>
      <c r="F26" s="6">
        <v>45473</v>
      </c>
      <c r="G26" s="5" t="s">
        <v>85</v>
      </c>
      <c r="H26" s="4" t="s">
        <v>92</v>
      </c>
      <c r="I26" s="4" t="s">
        <v>41</v>
      </c>
      <c r="J26" s="8">
        <v>44494</v>
      </c>
      <c r="K26" s="8" t="s">
        <v>23</v>
      </c>
      <c r="L26" s="5" t="s">
        <v>30</v>
      </c>
      <c r="M26" s="5" t="s">
        <v>31</v>
      </c>
      <c r="N26" s="5">
        <v>5</v>
      </c>
      <c r="O26" s="9">
        <v>2020</v>
      </c>
      <c r="P26" s="9" t="s">
        <v>25</v>
      </c>
    </row>
    <row r="27" spans="1:16" x14ac:dyDescent="0.25">
      <c r="A27" s="3" t="s">
        <v>26</v>
      </c>
      <c r="B27" s="3"/>
      <c r="C27" s="4">
        <v>114416</v>
      </c>
      <c r="D27" s="5" t="s">
        <v>94</v>
      </c>
      <c r="E27" s="6">
        <v>43874</v>
      </c>
      <c r="F27" s="6">
        <v>45300</v>
      </c>
      <c r="G27" s="7" t="s">
        <v>68</v>
      </c>
      <c r="H27" s="4" t="s">
        <v>92</v>
      </c>
      <c r="I27" s="4" t="s">
        <v>22</v>
      </c>
      <c r="J27" s="8">
        <v>44524</v>
      </c>
      <c r="K27" s="8" t="s">
        <v>29</v>
      </c>
      <c r="L27" s="5" t="s">
        <v>95</v>
      </c>
      <c r="M27" s="5" t="s">
        <v>46</v>
      </c>
      <c r="N27" s="5">
        <v>8</v>
      </c>
      <c r="O27" s="9">
        <v>2020</v>
      </c>
      <c r="P27" s="9" t="s">
        <v>25</v>
      </c>
    </row>
    <row r="28" spans="1:16" x14ac:dyDescent="0.25">
      <c r="A28" s="3" t="s">
        <v>16</v>
      </c>
      <c r="B28" s="3"/>
      <c r="C28" s="4">
        <v>189095</v>
      </c>
      <c r="D28" s="5" t="s">
        <v>96</v>
      </c>
      <c r="E28" s="6">
        <v>43887</v>
      </c>
      <c r="F28" s="6"/>
      <c r="G28" s="7" t="s">
        <v>68</v>
      </c>
      <c r="H28" s="4" t="s">
        <v>92</v>
      </c>
      <c r="I28" s="4" t="s">
        <v>22</v>
      </c>
      <c r="J28" s="8">
        <v>44504</v>
      </c>
      <c r="K28" s="8" t="s">
        <v>23</v>
      </c>
      <c r="L28" s="5" t="s">
        <v>95</v>
      </c>
      <c r="M28" s="5" t="s">
        <v>24</v>
      </c>
      <c r="N28" s="5">
        <v>17</v>
      </c>
      <c r="O28" s="9">
        <v>2020</v>
      </c>
      <c r="P28" s="9" t="s">
        <v>25</v>
      </c>
    </row>
    <row r="29" spans="1:16" x14ac:dyDescent="0.25">
      <c r="A29" s="3" t="s">
        <v>26</v>
      </c>
      <c r="B29" s="3"/>
      <c r="C29" s="4">
        <v>123874</v>
      </c>
      <c r="D29" s="5" t="s">
        <v>97</v>
      </c>
      <c r="E29" s="6">
        <v>43901</v>
      </c>
      <c r="F29" s="6">
        <v>44560</v>
      </c>
      <c r="G29" s="7" t="s">
        <v>68</v>
      </c>
      <c r="H29" s="4" t="s">
        <v>92</v>
      </c>
      <c r="I29" s="4" t="s">
        <v>22</v>
      </c>
      <c r="J29" s="8">
        <v>44558</v>
      </c>
      <c r="K29" s="8" t="s">
        <v>29</v>
      </c>
      <c r="L29" s="5" t="s">
        <v>30</v>
      </c>
      <c r="M29" s="5" t="s">
        <v>31</v>
      </c>
      <c r="N29" s="5">
        <v>14</v>
      </c>
      <c r="O29" s="9">
        <v>2020</v>
      </c>
      <c r="P29" s="9" t="s">
        <v>25</v>
      </c>
    </row>
    <row r="30" spans="1:16" x14ac:dyDescent="0.25">
      <c r="A30" s="3" t="s">
        <v>16</v>
      </c>
      <c r="B30" s="3" t="s">
        <v>17</v>
      </c>
      <c r="C30" s="4">
        <v>147637</v>
      </c>
      <c r="D30" s="5" t="s">
        <v>60</v>
      </c>
      <c r="E30" s="6">
        <v>43916</v>
      </c>
      <c r="F30" s="6"/>
      <c r="G30" s="7" t="s">
        <v>20</v>
      </c>
      <c r="H30" s="4" t="s">
        <v>92</v>
      </c>
      <c r="I30" s="4" t="s">
        <v>22</v>
      </c>
      <c r="J30" s="8">
        <v>44314</v>
      </c>
      <c r="K30" s="8" t="s">
        <v>23</v>
      </c>
      <c r="L30" s="5" t="s">
        <v>30</v>
      </c>
      <c r="M30" s="5" t="s">
        <v>46</v>
      </c>
      <c r="N30" s="5">
        <v>14</v>
      </c>
      <c r="O30" s="9">
        <v>2020</v>
      </c>
      <c r="P30" s="9" t="s">
        <v>25</v>
      </c>
    </row>
    <row r="31" spans="1:16" x14ac:dyDescent="0.25">
      <c r="A31" s="3" t="s">
        <v>16</v>
      </c>
      <c r="B31" s="3" t="s">
        <v>17</v>
      </c>
      <c r="C31" s="4">
        <v>183900</v>
      </c>
      <c r="D31" s="5" t="s">
        <v>98</v>
      </c>
      <c r="E31" s="6">
        <v>43950</v>
      </c>
      <c r="F31" s="6"/>
      <c r="G31" s="7" t="s">
        <v>68</v>
      </c>
      <c r="H31" s="4" t="s">
        <v>92</v>
      </c>
      <c r="I31" s="4" t="s">
        <v>22</v>
      </c>
      <c r="J31" s="8">
        <v>44309</v>
      </c>
      <c r="K31" s="8" t="s">
        <v>23</v>
      </c>
      <c r="L31" s="5" t="s">
        <v>95</v>
      </c>
      <c r="M31" s="5" t="s">
        <v>31</v>
      </c>
      <c r="N31" s="5">
        <v>13</v>
      </c>
      <c r="O31" s="9">
        <v>2020</v>
      </c>
      <c r="P31" s="9" t="s">
        <v>25</v>
      </c>
    </row>
    <row r="32" spans="1:16" x14ac:dyDescent="0.25">
      <c r="A32" s="3" t="s">
        <v>16</v>
      </c>
      <c r="B32" s="3"/>
      <c r="C32" s="4">
        <v>110700</v>
      </c>
      <c r="D32" s="5" t="s">
        <v>99</v>
      </c>
      <c r="E32" s="6">
        <v>43971</v>
      </c>
      <c r="F32" s="6"/>
      <c r="G32" s="7" t="s">
        <v>68</v>
      </c>
      <c r="H32" s="4" t="s">
        <v>92</v>
      </c>
      <c r="I32" s="4" t="s">
        <v>22</v>
      </c>
      <c r="J32" s="8">
        <v>44307</v>
      </c>
      <c r="K32" s="8" t="s">
        <v>23</v>
      </c>
      <c r="L32" s="5" t="s">
        <v>95</v>
      </c>
      <c r="M32" s="5" t="s">
        <v>46</v>
      </c>
      <c r="N32" s="5">
        <v>13</v>
      </c>
      <c r="O32" s="9">
        <v>2020</v>
      </c>
      <c r="P32" s="9" t="s">
        <v>25</v>
      </c>
    </row>
    <row r="33" spans="1:16" x14ac:dyDescent="0.25">
      <c r="A33" s="3" t="s">
        <v>16</v>
      </c>
      <c r="B33" s="3" t="s">
        <v>17</v>
      </c>
      <c r="C33" s="4">
        <v>188035</v>
      </c>
      <c r="D33" s="5" t="s">
        <v>100</v>
      </c>
      <c r="E33" s="6">
        <v>43994</v>
      </c>
      <c r="F33" s="6"/>
      <c r="G33" s="7" t="s">
        <v>60</v>
      </c>
      <c r="H33" s="4" t="s">
        <v>92</v>
      </c>
      <c r="I33" s="4" t="s">
        <v>22</v>
      </c>
      <c r="J33" s="8">
        <v>44781</v>
      </c>
      <c r="K33" s="8" t="s">
        <v>23</v>
      </c>
      <c r="L33" s="5" t="s">
        <v>30</v>
      </c>
      <c r="M33" s="5" t="s">
        <v>24</v>
      </c>
      <c r="N33" s="5">
        <v>7</v>
      </c>
      <c r="O33" s="9">
        <v>2020</v>
      </c>
      <c r="P33" s="9" t="s">
        <v>25</v>
      </c>
    </row>
    <row r="34" spans="1:16" x14ac:dyDescent="0.25">
      <c r="A34" s="3" t="s">
        <v>16</v>
      </c>
      <c r="B34" s="3"/>
      <c r="C34" s="4">
        <v>131049</v>
      </c>
      <c r="D34" s="5" t="s">
        <v>101</v>
      </c>
      <c r="E34" s="6">
        <v>44000</v>
      </c>
      <c r="F34" s="6"/>
      <c r="G34" s="7" t="s">
        <v>68</v>
      </c>
      <c r="H34" s="4" t="s">
        <v>92</v>
      </c>
      <c r="I34" s="4" t="s">
        <v>22</v>
      </c>
      <c r="J34" s="8">
        <v>44561</v>
      </c>
      <c r="K34" s="8" t="s">
        <v>23</v>
      </c>
      <c r="L34" s="5" t="s">
        <v>95</v>
      </c>
      <c r="M34" s="5" t="s">
        <v>24</v>
      </c>
      <c r="N34" s="5">
        <v>13</v>
      </c>
      <c r="O34" s="9">
        <v>2020</v>
      </c>
      <c r="P34" s="9" t="s">
        <v>25</v>
      </c>
    </row>
    <row r="35" spans="1:16" x14ac:dyDescent="0.25">
      <c r="A35" s="3" t="s">
        <v>26</v>
      </c>
      <c r="B35" s="3"/>
      <c r="C35" s="4">
        <v>180582</v>
      </c>
      <c r="D35" s="5" t="s">
        <v>102</v>
      </c>
      <c r="E35" s="6">
        <v>44008</v>
      </c>
      <c r="F35" s="6">
        <v>44377</v>
      </c>
      <c r="G35" s="7" t="s">
        <v>60</v>
      </c>
      <c r="H35" s="4" t="s">
        <v>92</v>
      </c>
      <c r="I35" s="4" t="s">
        <v>41</v>
      </c>
      <c r="J35" s="8">
        <v>44343</v>
      </c>
      <c r="K35" s="8" t="s">
        <v>23</v>
      </c>
      <c r="L35" s="5" t="s">
        <v>103</v>
      </c>
      <c r="M35" s="5" t="s">
        <v>31</v>
      </c>
      <c r="N35" s="5">
        <v>0</v>
      </c>
      <c r="O35" s="9">
        <v>2020</v>
      </c>
      <c r="P35" s="9" t="s">
        <v>25</v>
      </c>
    </row>
    <row r="36" spans="1:16" x14ac:dyDescent="0.25">
      <c r="A36" s="3" t="s">
        <v>16</v>
      </c>
      <c r="B36" s="3"/>
      <c r="C36" s="4">
        <v>126718</v>
      </c>
      <c r="D36" s="5" t="s">
        <v>104</v>
      </c>
      <c r="E36" s="6">
        <v>44020</v>
      </c>
      <c r="F36" s="6"/>
      <c r="G36" s="7" t="s">
        <v>68</v>
      </c>
      <c r="H36" s="4" t="s">
        <v>92</v>
      </c>
      <c r="I36" s="4" t="s">
        <v>22</v>
      </c>
      <c r="J36" s="8">
        <v>44472</v>
      </c>
      <c r="K36" s="8" t="s">
        <v>23</v>
      </c>
      <c r="L36" s="5" t="s">
        <v>30</v>
      </c>
      <c r="M36" s="5" t="s">
        <v>31</v>
      </c>
      <c r="N36" s="5">
        <v>6.5</v>
      </c>
      <c r="O36" s="9">
        <v>2020</v>
      </c>
      <c r="P36" s="9" t="s">
        <v>25</v>
      </c>
    </row>
    <row r="37" spans="1:16" x14ac:dyDescent="0.25">
      <c r="A37" s="3" t="s">
        <v>16</v>
      </c>
      <c r="B37" s="3"/>
      <c r="C37" s="4">
        <v>192425</v>
      </c>
      <c r="D37" s="5" t="s">
        <v>105</v>
      </c>
      <c r="E37" s="6">
        <v>44036</v>
      </c>
      <c r="F37" s="6"/>
      <c r="G37" s="7" t="s">
        <v>20</v>
      </c>
      <c r="H37" s="4" t="s">
        <v>92</v>
      </c>
      <c r="I37" s="4" t="s">
        <v>22</v>
      </c>
      <c r="J37" s="8">
        <v>44338</v>
      </c>
      <c r="K37" s="8" t="s">
        <v>23</v>
      </c>
      <c r="L37" s="5" t="s">
        <v>30</v>
      </c>
      <c r="M37" s="5" t="s">
        <v>46</v>
      </c>
      <c r="N37" s="5">
        <v>8</v>
      </c>
      <c r="O37" s="9">
        <v>2020</v>
      </c>
      <c r="P37" s="9" t="s">
        <v>25</v>
      </c>
    </row>
    <row r="38" spans="1:16" x14ac:dyDescent="0.25">
      <c r="A38" s="3" t="s">
        <v>16</v>
      </c>
      <c r="B38" s="3"/>
      <c r="C38" s="4">
        <v>174008</v>
      </c>
      <c r="D38" s="5" t="s">
        <v>106</v>
      </c>
      <c r="E38" s="6">
        <v>44043</v>
      </c>
      <c r="F38" s="6"/>
      <c r="G38" s="7" t="s">
        <v>60</v>
      </c>
      <c r="H38" s="4" t="s">
        <v>92</v>
      </c>
      <c r="I38" s="4" t="s">
        <v>41</v>
      </c>
      <c r="J38" s="8">
        <v>44540</v>
      </c>
      <c r="K38" s="8" t="s">
        <v>23</v>
      </c>
      <c r="L38" s="5" t="s">
        <v>30</v>
      </c>
      <c r="M38" s="5" t="s">
        <v>31</v>
      </c>
      <c r="N38" s="5">
        <v>12</v>
      </c>
      <c r="O38" s="9">
        <v>2020</v>
      </c>
      <c r="P38" s="9" t="s">
        <v>25</v>
      </c>
    </row>
    <row r="39" spans="1:16" x14ac:dyDescent="0.25">
      <c r="A39" s="3" t="s">
        <v>26</v>
      </c>
      <c r="B39" s="3"/>
      <c r="C39" s="4">
        <v>129735</v>
      </c>
      <c r="D39" s="5" t="s">
        <v>40</v>
      </c>
      <c r="E39" s="6">
        <v>44057</v>
      </c>
      <c r="F39" s="6">
        <v>44741</v>
      </c>
      <c r="G39" s="7" t="s">
        <v>68</v>
      </c>
      <c r="H39" s="4" t="s">
        <v>92</v>
      </c>
      <c r="I39" s="4" t="s">
        <v>22</v>
      </c>
      <c r="J39" s="8">
        <v>44211</v>
      </c>
      <c r="K39" s="8" t="s">
        <v>23</v>
      </c>
      <c r="L39" s="5" t="s">
        <v>30</v>
      </c>
      <c r="M39" s="5" t="s">
        <v>24</v>
      </c>
      <c r="N39" s="5">
        <v>5</v>
      </c>
      <c r="O39" s="9">
        <v>2020</v>
      </c>
      <c r="P39" s="9" t="s">
        <v>25</v>
      </c>
    </row>
    <row r="40" spans="1:16" x14ac:dyDescent="0.25">
      <c r="A40" s="3" t="s">
        <v>26</v>
      </c>
      <c r="B40" s="3"/>
      <c r="C40" s="4">
        <v>117328</v>
      </c>
      <c r="D40" s="5" t="s">
        <v>107</v>
      </c>
      <c r="E40" s="6">
        <v>44069</v>
      </c>
      <c r="F40" s="6">
        <v>44681</v>
      </c>
      <c r="G40" s="7" t="s">
        <v>68</v>
      </c>
      <c r="H40" s="4" t="s">
        <v>92</v>
      </c>
      <c r="I40" s="4" t="s">
        <v>22</v>
      </c>
      <c r="J40" s="8">
        <v>44236</v>
      </c>
      <c r="K40" s="8" t="s">
        <v>29</v>
      </c>
      <c r="L40" s="5" t="s">
        <v>30</v>
      </c>
      <c r="M40" s="5" t="s">
        <v>24</v>
      </c>
      <c r="N40" s="5">
        <v>4.8</v>
      </c>
      <c r="O40" s="9">
        <v>2020</v>
      </c>
      <c r="P40" s="9" t="s">
        <v>25</v>
      </c>
    </row>
    <row r="41" spans="1:16" x14ac:dyDescent="0.25">
      <c r="A41" s="3" t="s">
        <v>16</v>
      </c>
      <c r="B41" s="3"/>
      <c r="C41" s="4">
        <v>110646</v>
      </c>
      <c r="D41" s="5" t="s">
        <v>108</v>
      </c>
      <c r="E41" s="6">
        <v>44075</v>
      </c>
      <c r="F41" s="6"/>
      <c r="G41" s="5" t="s">
        <v>55</v>
      </c>
      <c r="H41" s="4" t="s">
        <v>92</v>
      </c>
      <c r="I41" s="4" t="s">
        <v>22</v>
      </c>
      <c r="J41" s="8">
        <v>44216</v>
      </c>
      <c r="K41" s="8" t="s">
        <v>29</v>
      </c>
      <c r="L41" s="5" t="s">
        <v>30</v>
      </c>
      <c r="M41" s="5" t="s">
        <v>46</v>
      </c>
      <c r="N41" s="5">
        <v>9</v>
      </c>
      <c r="O41" s="9">
        <v>2020</v>
      </c>
      <c r="P41" s="9" t="s">
        <v>25</v>
      </c>
    </row>
    <row r="42" spans="1:16" x14ac:dyDescent="0.25">
      <c r="A42" s="3" t="s">
        <v>16</v>
      </c>
      <c r="B42" s="3"/>
      <c r="C42" s="4">
        <v>114446</v>
      </c>
      <c r="D42" s="5" t="s">
        <v>109</v>
      </c>
      <c r="E42" s="6">
        <v>44075</v>
      </c>
      <c r="F42" s="6"/>
      <c r="G42" s="5" t="s">
        <v>85</v>
      </c>
      <c r="H42" s="4" t="s">
        <v>92</v>
      </c>
      <c r="I42" s="4" t="s">
        <v>22</v>
      </c>
      <c r="J42" s="8">
        <v>44524</v>
      </c>
      <c r="K42" s="8" t="s">
        <v>29</v>
      </c>
      <c r="L42" s="5" t="s">
        <v>95</v>
      </c>
      <c r="M42" s="5" t="s">
        <v>46</v>
      </c>
      <c r="N42" s="5">
        <v>8</v>
      </c>
      <c r="O42" s="9">
        <v>2020</v>
      </c>
      <c r="P42" s="9" t="s">
        <v>25</v>
      </c>
    </row>
    <row r="43" spans="1:16" x14ac:dyDescent="0.25">
      <c r="A43" s="3" t="s">
        <v>16</v>
      </c>
      <c r="B43" s="3"/>
      <c r="C43" s="4">
        <v>189125</v>
      </c>
      <c r="D43" s="5" t="s">
        <v>110</v>
      </c>
      <c r="E43" s="6">
        <v>44075</v>
      </c>
      <c r="F43" s="6"/>
      <c r="G43" s="7" t="s">
        <v>40</v>
      </c>
      <c r="H43" s="4" t="s">
        <v>92</v>
      </c>
      <c r="I43" s="4" t="s">
        <v>22</v>
      </c>
      <c r="J43" s="8">
        <v>44504</v>
      </c>
      <c r="K43" s="8" t="s">
        <v>29</v>
      </c>
      <c r="L43" s="5" t="s">
        <v>95</v>
      </c>
      <c r="M43" s="5" t="s">
        <v>24</v>
      </c>
      <c r="N43" s="5">
        <v>17</v>
      </c>
      <c r="O43" s="9">
        <v>2020</v>
      </c>
      <c r="P43" s="9" t="s">
        <v>25</v>
      </c>
    </row>
    <row r="44" spans="1:16" x14ac:dyDescent="0.25">
      <c r="A44" s="3" t="s">
        <v>16</v>
      </c>
      <c r="B44" s="3" t="s">
        <v>17</v>
      </c>
      <c r="C44" s="4">
        <v>183930</v>
      </c>
      <c r="D44" s="5" t="s">
        <v>111</v>
      </c>
      <c r="E44" s="6">
        <v>44075</v>
      </c>
      <c r="F44" s="6"/>
      <c r="G44" s="7" t="s">
        <v>40</v>
      </c>
      <c r="H44" s="4" t="s">
        <v>92</v>
      </c>
      <c r="I44" s="4" t="s">
        <v>22</v>
      </c>
      <c r="J44" s="8">
        <v>44309</v>
      </c>
      <c r="K44" s="8" t="s">
        <v>29</v>
      </c>
      <c r="L44" s="5" t="s">
        <v>95</v>
      </c>
      <c r="M44" s="5" t="s">
        <v>31</v>
      </c>
      <c r="N44" s="5">
        <v>13</v>
      </c>
      <c r="O44" s="9">
        <v>2020</v>
      </c>
      <c r="P44" s="9" t="s">
        <v>25</v>
      </c>
    </row>
    <row r="45" spans="1:16" x14ac:dyDescent="0.25">
      <c r="A45" s="3" t="s">
        <v>16</v>
      </c>
      <c r="B45" s="3"/>
      <c r="C45" s="4">
        <v>110730</v>
      </c>
      <c r="D45" s="5" t="s">
        <v>45</v>
      </c>
      <c r="E45" s="6">
        <v>44075</v>
      </c>
      <c r="F45" s="6"/>
      <c r="G45" s="5" t="s">
        <v>45</v>
      </c>
      <c r="H45" s="4" t="s">
        <v>92</v>
      </c>
      <c r="I45" s="4" t="s">
        <v>22</v>
      </c>
      <c r="J45" s="8">
        <v>44307</v>
      </c>
      <c r="K45" s="8" t="s">
        <v>23</v>
      </c>
      <c r="L45" s="5" t="s">
        <v>95</v>
      </c>
      <c r="M45" s="5" t="s">
        <v>46</v>
      </c>
      <c r="N45" s="5">
        <v>13</v>
      </c>
      <c r="O45" s="9">
        <v>2020</v>
      </c>
      <c r="P45" s="9" t="s">
        <v>25</v>
      </c>
    </row>
    <row r="46" spans="1:16" x14ac:dyDescent="0.25">
      <c r="A46" s="3" t="s">
        <v>16</v>
      </c>
      <c r="B46" s="3"/>
      <c r="C46" s="4">
        <v>131079</v>
      </c>
      <c r="D46" s="5" t="s">
        <v>112</v>
      </c>
      <c r="E46" s="6">
        <v>44075</v>
      </c>
      <c r="F46" s="6"/>
      <c r="G46" s="7" t="s">
        <v>20</v>
      </c>
      <c r="H46" s="4" t="s">
        <v>92</v>
      </c>
      <c r="I46" s="4" t="s">
        <v>22</v>
      </c>
      <c r="J46" s="8">
        <v>44561</v>
      </c>
      <c r="K46" s="8" t="s">
        <v>23</v>
      </c>
      <c r="L46" s="5" t="s">
        <v>95</v>
      </c>
      <c r="M46" s="5" t="s">
        <v>24</v>
      </c>
      <c r="N46" s="5">
        <v>13</v>
      </c>
      <c r="O46" s="9">
        <v>2020</v>
      </c>
      <c r="P46" s="9" t="s">
        <v>25</v>
      </c>
    </row>
    <row r="47" spans="1:16" x14ac:dyDescent="0.25">
      <c r="A47" s="3" t="s">
        <v>16</v>
      </c>
      <c r="B47" s="3"/>
      <c r="C47" s="4">
        <v>180612</v>
      </c>
      <c r="D47" s="5" t="s">
        <v>113</v>
      </c>
      <c r="E47" s="6">
        <v>44075</v>
      </c>
      <c r="F47" s="6"/>
      <c r="G47" s="7" t="s">
        <v>60</v>
      </c>
      <c r="H47" s="4" t="s">
        <v>92</v>
      </c>
      <c r="I47" s="4" t="s">
        <v>41</v>
      </c>
      <c r="J47" s="8">
        <v>44343</v>
      </c>
      <c r="K47" s="8" t="s">
        <v>23</v>
      </c>
      <c r="L47" s="5" t="s">
        <v>103</v>
      </c>
      <c r="M47" s="5" t="s">
        <v>31</v>
      </c>
      <c r="N47" s="5">
        <v>0</v>
      </c>
      <c r="O47" s="9">
        <v>2020</v>
      </c>
      <c r="P47" s="9" t="s">
        <v>25</v>
      </c>
    </row>
    <row r="48" spans="1:16" x14ac:dyDescent="0.25">
      <c r="A48" s="3" t="s">
        <v>26</v>
      </c>
      <c r="B48" s="3"/>
      <c r="C48" s="4">
        <v>154702</v>
      </c>
      <c r="D48" s="5" t="s">
        <v>114</v>
      </c>
      <c r="E48" s="6">
        <v>44083</v>
      </c>
      <c r="F48" s="6">
        <v>45311</v>
      </c>
      <c r="G48" s="7" t="s">
        <v>68</v>
      </c>
      <c r="H48" s="4" t="s">
        <v>92</v>
      </c>
      <c r="I48" s="4" t="s">
        <v>41</v>
      </c>
      <c r="J48" s="8">
        <v>44507</v>
      </c>
      <c r="K48" s="8" t="s">
        <v>29</v>
      </c>
      <c r="L48" s="5" t="s">
        <v>103</v>
      </c>
      <c r="M48" s="5" t="s">
        <v>24</v>
      </c>
      <c r="N48" s="5">
        <v>0</v>
      </c>
      <c r="O48" s="9">
        <v>2020</v>
      </c>
      <c r="P48" s="9" t="s">
        <v>25</v>
      </c>
    </row>
    <row r="49" spans="1:16" x14ac:dyDescent="0.25">
      <c r="A49" s="3" t="s">
        <v>16</v>
      </c>
      <c r="B49" s="3"/>
      <c r="C49" s="4">
        <v>101286</v>
      </c>
      <c r="D49" s="5" t="s">
        <v>115</v>
      </c>
      <c r="E49" s="6">
        <v>44083</v>
      </c>
      <c r="F49" s="6"/>
      <c r="G49" s="7" t="s">
        <v>68</v>
      </c>
      <c r="H49" s="4" t="s">
        <v>92</v>
      </c>
      <c r="I49" s="4" t="s">
        <v>22</v>
      </c>
      <c r="J49" s="8">
        <v>44269</v>
      </c>
      <c r="K49" s="8" t="s">
        <v>23</v>
      </c>
      <c r="L49" s="5" t="s">
        <v>95</v>
      </c>
      <c r="M49" s="5" t="s">
        <v>37</v>
      </c>
      <c r="N49" s="5">
        <v>14</v>
      </c>
      <c r="O49" s="9">
        <v>2020</v>
      </c>
      <c r="P49" s="9" t="s">
        <v>25</v>
      </c>
    </row>
    <row r="50" spans="1:16" x14ac:dyDescent="0.25">
      <c r="A50" s="3" t="s">
        <v>26</v>
      </c>
      <c r="B50" s="3"/>
      <c r="C50" s="4">
        <v>137383</v>
      </c>
      <c r="D50" s="5" t="s">
        <v>20</v>
      </c>
      <c r="E50" s="6">
        <v>44090</v>
      </c>
      <c r="F50" s="6">
        <v>44258</v>
      </c>
      <c r="G50" s="5" t="s">
        <v>55</v>
      </c>
      <c r="H50" s="4" t="s">
        <v>92</v>
      </c>
      <c r="I50" s="4" t="s">
        <v>22</v>
      </c>
      <c r="J50" s="8">
        <v>44220</v>
      </c>
      <c r="K50" s="8" t="s">
        <v>23</v>
      </c>
      <c r="L50" s="5" t="s">
        <v>95</v>
      </c>
      <c r="M50" s="5" t="s">
        <v>24</v>
      </c>
      <c r="N50" s="5">
        <v>9</v>
      </c>
      <c r="O50" s="9">
        <v>2020</v>
      </c>
      <c r="P50" s="9" t="s">
        <v>25</v>
      </c>
    </row>
    <row r="51" spans="1:16" x14ac:dyDescent="0.25">
      <c r="A51" s="3" t="s">
        <v>26</v>
      </c>
      <c r="B51" s="3"/>
      <c r="C51" s="4">
        <v>185704</v>
      </c>
      <c r="D51" s="5" t="s">
        <v>68</v>
      </c>
      <c r="E51" s="6">
        <v>44090</v>
      </c>
      <c r="F51" s="6">
        <v>44395</v>
      </c>
      <c r="G51" s="7" t="s">
        <v>60</v>
      </c>
      <c r="H51" s="4" t="s">
        <v>92</v>
      </c>
      <c r="I51" s="4" t="s">
        <v>22</v>
      </c>
      <c r="J51" s="8">
        <v>44536</v>
      </c>
      <c r="K51" s="8" t="s">
        <v>23</v>
      </c>
      <c r="L51" s="5" t="s">
        <v>103</v>
      </c>
      <c r="M51" s="5" t="s">
        <v>52</v>
      </c>
      <c r="N51" s="5">
        <v>0</v>
      </c>
      <c r="O51" s="9">
        <v>2020</v>
      </c>
      <c r="P51" s="9" t="s">
        <v>25</v>
      </c>
    </row>
    <row r="52" spans="1:16" x14ac:dyDescent="0.25">
      <c r="A52" s="3" t="s">
        <v>26</v>
      </c>
      <c r="B52" s="3"/>
      <c r="C52" s="4">
        <v>151727</v>
      </c>
      <c r="D52" s="5" t="s">
        <v>116</v>
      </c>
      <c r="E52" s="6">
        <v>44090</v>
      </c>
      <c r="F52" s="6">
        <v>45106</v>
      </c>
      <c r="G52" s="7" t="s">
        <v>60</v>
      </c>
      <c r="H52" s="4" t="s">
        <v>92</v>
      </c>
      <c r="I52" s="4" t="s">
        <v>22</v>
      </c>
      <c r="J52" s="8">
        <v>44230</v>
      </c>
      <c r="K52" s="8" t="s">
        <v>23</v>
      </c>
      <c r="L52" s="5" t="s">
        <v>103</v>
      </c>
      <c r="M52" s="5" t="s">
        <v>52</v>
      </c>
      <c r="N52" s="5">
        <v>0</v>
      </c>
      <c r="O52" s="9">
        <v>2020</v>
      </c>
      <c r="P52" s="9" t="s">
        <v>25</v>
      </c>
    </row>
    <row r="53" spans="1:16" x14ac:dyDescent="0.25">
      <c r="A53" s="3" t="s">
        <v>26</v>
      </c>
      <c r="B53" s="3"/>
      <c r="C53" s="4">
        <v>135167</v>
      </c>
      <c r="D53" s="5" t="s">
        <v>117</v>
      </c>
      <c r="E53" s="6">
        <v>44090</v>
      </c>
      <c r="F53" s="6">
        <v>45195</v>
      </c>
      <c r="G53" s="7" t="s">
        <v>60</v>
      </c>
      <c r="H53" s="4" t="s">
        <v>92</v>
      </c>
      <c r="I53" s="4" t="s">
        <v>22</v>
      </c>
      <c r="J53" s="8">
        <v>44283</v>
      </c>
      <c r="K53" s="8" t="s">
        <v>23</v>
      </c>
      <c r="L53" s="5" t="s">
        <v>103</v>
      </c>
      <c r="M53" s="5" t="s">
        <v>52</v>
      </c>
      <c r="N53" s="5">
        <v>0</v>
      </c>
      <c r="O53" s="9">
        <v>2020</v>
      </c>
      <c r="P53" s="9" t="s">
        <v>25</v>
      </c>
    </row>
    <row r="54" spans="1:16" x14ac:dyDescent="0.25">
      <c r="A54" s="3" t="s">
        <v>26</v>
      </c>
      <c r="B54" s="3"/>
      <c r="C54" s="4">
        <v>100971</v>
      </c>
      <c r="D54" s="5" t="s">
        <v>118</v>
      </c>
      <c r="E54" s="6">
        <v>44090</v>
      </c>
      <c r="F54" s="6">
        <v>45283</v>
      </c>
      <c r="G54" s="7" t="s">
        <v>60</v>
      </c>
      <c r="H54" s="4" t="s">
        <v>92</v>
      </c>
      <c r="I54" s="4" t="s">
        <v>22</v>
      </c>
      <c r="J54" s="8">
        <v>44447</v>
      </c>
      <c r="K54" s="8" t="s">
        <v>23</v>
      </c>
      <c r="L54" s="5" t="s">
        <v>103</v>
      </c>
      <c r="M54" s="5" t="s">
        <v>52</v>
      </c>
      <c r="N54" s="5">
        <v>0</v>
      </c>
      <c r="O54" s="9">
        <v>2020</v>
      </c>
      <c r="P54" s="9" t="s">
        <v>25</v>
      </c>
    </row>
    <row r="55" spans="1:16" x14ac:dyDescent="0.25">
      <c r="A55" s="3" t="s">
        <v>26</v>
      </c>
      <c r="B55" s="3"/>
      <c r="C55" s="4">
        <v>145787</v>
      </c>
      <c r="D55" s="5" t="s">
        <v>119</v>
      </c>
      <c r="E55" s="6">
        <v>44090</v>
      </c>
      <c r="F55" s="6">
        <v>45318</v>
      </c>
      <c r="G55" s="7" t="s">
        <v>60</v>
      </c>
      <c r="H55" s="4" t="s">
        <v>92</v>
      </c>
      <c r="I55" s="4" t="s">
        <v>41</v>
      </c>
      <c r="J55" s="8">
        <v>44483</v>
      </c>
      <c r="K55" s="8" t="s">
        <v>29</v>
      </c>
      <c r="L55" s="5" t="s">
        <v>103</v>
      </c>
      <c r="M55" s="5" t="s">
        <v>52</v>
      </c>
      <c r="N55" s="5">
        <v>0</v>
      </c>
      <c r="O55" s="9">
        <v>2020</v>
      </c>
      <c r="P55" s="9" t="s">
        <v>25</v>
      </c>
    </row>
    <row r="56" spans="1:16" x14ac:dyDescent="0.25">
      <c r="A56" s="3" t="s">
        <v>26</v>
      </c>
      <c r="B56" s="3"/>
      <c r="C56" s="4">
        <v>170924</v>
      </c>
      <c r="D56" s="5" t="s">
        <v>120</v>
      </c>
      <c r="E56" s="6">
        <v>44090</v>
      </c>
      <c r="F56" s="6">
        <v>45368</v>
      </c>
      <c r="G56" s="5" t="s">
        <v>85</v>
      </c>
      <c r="H56" s="4" t="s">
        <v>92</v>
      </c>
      <c r="I56" s="4" t="s">
        <v>22</v>
      </c>
      <c r="J56" s="8">
        <v>44470</v>
      </c>
      <c r="K56" s="8" t="s">
        <v>23</v>
      </c>
      <c r="L56" s="5" t="s">
        <v>103</v>
      </c>
      <c r="M56" s="5" t="s">
        <v>52</v>
      </c>
      <c r="N56" s="5">
        <v>0</v>
      </c>
      <c r="O56" s="9">
        <v>2020</v>
      </c>
      <c r="P56" s="9" t="s">
        <v>25</v>
      </c>
    </row>
    <row r="57" spans="1:16" x14ac:dyDescent="0.25">
      <c r="A57" s="3" t="s">
        <v>26</v>
      </c>
      <c r="B57" s="3"/>
      <c r="C57" s="4">
        <v>129573</v>
      </c>
      <c r="D57" s="5" t="s">
        <v>121</v>
      </c>
      <c r="E57" s="6">
        <v>44090</v>
      </c>
      <c r="F57" s="6">
        <v>45564</v>
      </c>
      <c r="G57" s="7" t="s">
        <v>40</v>
      </c>
      <c r="H57" s="4" t="s">
        <v>92</v>
      </c>
      <c r="I57" s="4" t="s">
        <v>41</v>
      </c>
      <c r="J57" s="8">
        <v>44455</v>
      </c>
      <c r="K57" s="8" t="s">
        <v>23</v>
      </c>
      <c r="L57" s="5" t="s">
        <v>30</v>
      </c>
      <c r="M57" s="5" t="s">
        <v>52</v>
      </c>
      <c r="N57" s="5">
        <v>0</v>
      </c>
      <c r="O57" s="9">
        <v>2020</v>
      </c>
      <c r="P57" s="9" t="s">
        <v>25</v>
      </c>
    </row>
    <row r="58" spans="1:16" x14ac:dyDescent="0.25">
      <c r="A58" s="3" t="s">
        <v>16</v>
      </c>
      <c r="B58" s="3"/>
      <c r="C58" s="4">
        <v>115742</v>
      </c>
      <c r="D58" s="5" t="s">
        <v>122</v>
      </c>
      <c r="E58" s="6">
        <v>44090</v>
      </c>
      <c r="F58" s="6"/>
      <c r="G58" s="7" t="s">
        <v>40</v>
      </c>
      <c r="H58" s="4" t="s">
        <v>92</v>
      </c>
      <c r="I58" s="4" t="s">
        <v>41</v>
      </c>
      <c r="J58" s="8">
        <v>44462</v>
      </c>
      <c r="K58" s="8" t="s">
        <v>23</v>
      </c>
      <c r="L58" s="5" t="s">
        <v>30</v>
      </c>
      <c r="M58" s="5" t="s">
        <v>52</v>
      </c>
      <c r="N58" s="5">
        <v>0</v>
      </c>
      <c r="O58" s="9">
        <v>2020</v>
      </c>
      <c r="P58" s="9" t="s">
        <v>25</v>
      </c>
    </row>
    <row r="59" spans="1:16" x14ac:dyDescent="0.25">
      <c r="A59" s="3" t="s">
        <v>16</v>
      </c>
      <c r="B59" s="3"/>
      <c r="C59" s="4">
        <v>126064</v>
      </c>
      <c r="D59" s="5" t="s">
        <v>123</v>
      </c>
      <c r="E59" s="6">
        <v>44090</v>
      </c>
      <c r="F59" s="6"/>
      <c r="G59" s="7" t="s">
        <v>40</v>
      </c>
      <c r="H59" s="4" t="s">
        <v>92</v>
      </c>
      <c r="I59" s="4" t="s">
        <v>41</v>
      </c>
      <c r="J59" s="8">
        <v>44346</v>
      </c>
      <c r="K59" s="8" t="s">
        <v>23</v>
      </c>
      <c r="L59" s="5" t="s">
        <v>30</v>
      </c>
      <c r="M59" s="5" t="s">
        <v>52</v>
      </c>
      <c r="N59" s="5">
        <v>0</v>
      </c>
      <c r="O59" s="9">
        <v>2020</v>
      </c>
      <c r="P59" s="9" t="s">
        <v>25</v>
      </c>
    </row>
    <row r="60" spans="1:16" x14ac:dyDescent="0.25">
      <c r="A60" s="3" t="s">
        <v>16</v>
      </c>
      <c r="B60" s="3"/>
      <c r="C60" s="4">
        <v>173140</v>
      </c>
      <c r="D60" s="5" t="s">
        <v>124</v>
      </c>
      <c r="E60" s="6">
        <v>44090</v>
      </c>
      <c r="F60" s="6"/>
      <c r="G60" s="5" t="s">
        <v>85</v>
      </c>
      <c r="H60" s="4" t="s">
        <v>92</v>
      </c>
      <c r="I60" s="4" t="s">
        <v>22</v>
      </c>
      <c r="J60" s="8">
        <v>44390</v>
      </c>
      <c r="K60" s="8" t="s">
        <v>23</v>
      </c>
      <c r="L60" s="5" t="s">
        <v>30</v>
      </c>
      <c r="M60" s="5" t="s">
        <v>52</v>
      </c>
      <c r="N60" s="5">
        <v>0</v>
      </c>
      <c r="O60" s="9">
        <v>2020</v>
      </c>
      <c r="P60" s="9" t="s">
        <v>25</v>
      </c>
    </row>
    <row r="61" spans="1:16" x14ac:dyDescent="0.25">
      <c r="A61" s="3" t="s">
        <v>26</v>
      </c>
      <c r="B61" s="3"/>
      <c r="C61" s="4">
        <v>181592</v>
      </c>
      <c r="D61" s="5" t="s">
        <v>125</v>
      </c>
      <c r="E61" s="6">
        <v>44120</v>
      </c>
      <c r="F61" s="6">
        <v>45325</v>
      </c>
      <c r="G61" s="5" t="s">
        <v>85</v>
      </c>
      <c r="H61" s="4" t="s">
        <v>92</v>
      </c>
      <c r="I61" s="4" t="s">
        <v>22</v>
      </c>
      <c r="J61" s="8">
        <v>44220</v>
      </c>
      <c r="K61" s="8" t="s">
        <v>29</v>
      </c>
      <c r="L61" s="5" t="s">
        <v>95</v>
      </c>
      <c r="M61" s="5" t="s">
        <v>52</v>
      </c>
      <c r="N61" s="5">
        <v>12</v>
      </c>
      <c r="O61" s="9">
        <v>2020</v>
      </c>
      <c r="P61" s="9" t="s">
        <v>25</v>
      </c>
    </row>
    <row r="62" spans="1:16" x14ac:dyDescent="0.25">
      <c r="A62" s="3" t="s">
        <v>26</v>
      </c>
      <c r="B62" s="3"/>
      <c r="C62" s="4">
        <v>144158</v>
      </c>
      <c r="D62" s="5" t="s">
        <v>126</v>
      </c>
      <c r="E62" s="6">
        <v>44163</v>
      </c>
      <c r="F62" s="6">
        <v>45016</v>
      </c>
      <c r="G62" s="7" t="s">
        <v>20</v>
      </c>
      <c r="H62" s="4" t="s">
        <v>92</v>
      </c>
      <c r="I62" s="4" t="s">
        <v>22</v>
      </c>
      <c r="J62" s="8">
        <v>44296</v>
      </c>
      <c r="K62" s="8" t="s">
        <v>29</v>
      </c>
      <c r="L62" s="5" t="s">
        <v>30</v>
      </c>
      <c r="M62" s="5" t="s">
        <v>31</v>
      </c>
      <c r="N62" s="5">
        <v>6</v>
      </c>
      <c r="O62" s="9">
        <v>2020</v>
      </c>
      <c r="P62" s="9" t="s">
        <v>25</v>
      </c>
    </row>
    <row r="63" spans="1:16" x14ac:dyDescent="0.25">
      <c r="A63" s="3" t="s">
        <v>16</v>
      </c>
      <c r="B63" s="3"/>
      <c r="C63" s="4">
        <v>178955</v>
      </c>
      <c r="D63" s="5" t="s">
        <v>127</v>
      </c>
      <c r="E63" s="6">
        <v>44167</v>
      </c>
      <c r="F63" s="6"/>
      <c r="G63" s="5" t="s">
        <v>85</v>
      </c>
      <c r="H63" s="4" t="s">
        <v>92</v>
      </c>
      <c r="I63" s="4" t="s">
        <v>22</v>
      </c>
      <c r="J63" s="8">
        <v>44273</v>
      </c>
      <c r="K63" s="8" t="s">
        <v>23</v>
      </c>
      <c r="L63" s="5" t="s">
        <v>30</v>
      </c>
      <c r="M63" s="5" t="s">
        <v>31</v>
      </c>
      <c r="N63" s="5">
        <v>8</v>
      </c>
      <c r="O63" s="9">
        <v>2020</v>
      </c>
      <c r="P63" s="9" t="s">
        <v>34</v>
      </c>
    </row>
    <row r="64" spans="1:16" x14ac:dyDescent="0.25">
      <c r="A64" s="3" t="s">
        <v>26</v>
      </c>
      <c r="B64" s="3"/>
      <c r="C64" s="4">
        <v>110616</v>
      </c>
      <c r="D64" s="5" t="s">
        <v>128</v>
      </c>
      <c r="E64" s="6">
        <v>44186</v>
      </c>
      <c r="F64" s="6">
        <v>44651</v>
      </c>
      <c r="G64" s="7" t="s">
        <v>20</v>
      </c>
      <c r="H64" s="4" t="s">
        <v>92</v>
      </c>
      <c r="I64" s="4" t="s">
        <v>22</v>
      </c>
      <c r="J64" s="8">
        <v>44216</v>
      </c>
      <c r="K64" s="8" t="s">
        <v>29</v>
      </c>
      <c r="L64" s="5" t="s">
        <v>30</v>
      </c>
      <c r="M64" s="5" t="s">
        <v>46</v>
      </c>
      <c r="N64" s="5">
        <v>9</v>
      </c>
      <c r="O64" s="9">
        <v>2020</v>
      </c>
      <c r="P64" s="9" t="s">
        <v>34</v>
      </c>
    </row>
    <row r="65" spans="1:16" x14ac:dyDescent="0.25">
      <c r="A65" s="3" t="s">
        <v>26</v>
      </c>
      <c r="B65" s="3"/>
      <c r="C65" s="4">
        <v>120981</v>
      </c>
      <c r="D65" s="5" t="s">
        <v>129</v>
      </c>
      <c r="E65" s="6">
        <v>44191</v>
      </c>
      <c r="F65" s="6">
        <v>45108</v>
      </c>
      <c r="G65" s="7" t="s">
        <v>20</v>
      </c>
      <c r="H65" s="4" t="s">
        <v>92</v>
      </c>
      <c r="I65" s="4" t="s">
        <v>41</v>
      </c>
      <c r="J65" s="8">
        <v>44399</v>
      </c>
      <c r="K65" s="8" t="s">
        <v>23</v>
      </c>
      <c r="L65" s="5" t="s">
        <v>103</v>
      </c>
      <c r="M65" s="5" t="s">
        <v>24</v>
      </c>
      <c r="N65" s="5">
        <v>0</v>
      </c>
      <c r="O65" s="9">
        <v>2020</v>
      </c>
      <c r="P65" s="9" t="s">
        <v>34</v>
      </c>
    </row>
    <row r="66" spans="1:16" x14ac:dyDescent="0.25">
      <c r="A66" s="3" t="s">
        <v>26</v>
      </c>
      <c r="B66" s="3"/>
      <c r="C66" s="4">
        <v>140182</v>
      </c>
      <c r="D66" s="5" t="s">
        <v>130</v>
      </c>
      <c r="E66" s="6">
        <v>44218</v>
      </c>
      <c r="F66" s="6">
        <v>44635</v>
      </c>
      <c r="G66" s="7" t="s">
        <v>60</v>
      </c>
      <c r="H66" s="4" t="s">
        <v>92</v>
      </c>
      <c r="I66" s="4" t="s">
        <v>41</v>
      </c>
      <c r="J66" s="8">
        <v>44235</v>
      </c>
      <c r="K66" s="8" t="s">
        <v>23</v>
      </c>
      <c r="L66" s="5" t="s">
        <v>103</v>
      </c>
      <c r="M66" s="5" t="s">
        <v>24</v>
      </c>
      <c r="N66" s="5">
        <v>0</v>
      </c>
      <c r="O66" s="9">
        <v>2021</v>
      </c>
      <c r="P66" s="9" t="s">
        <v>34</v>
      </c>
    </row>
    <row r="67" spans="1:16" x14ac:dyDescent="0.25">
      <c r="A67" s="3" t="s">
        <v>26</v>
      </c>
      <c r="B67" s="3"/>
      <c r="C67" s="4">
        <v>174057</v>
      </c>
      <c r="D67" s="5" t="s">
        <v>131</v>
      </c>
      <c r="E67" s="6">
        <v>44218</v>
      </c>
      <c r="F67" s="6">
        <v>44965</v>
      </c>
      <c r="G67" s="7" t="s">
        <v>60</v>
      </c>
      <c r="H67" s="4" t="s">
        <v>92</v>
      </c>
      <c r="I67" s="4" t="s">
        <v>22</v>
      </c>
      <c r="J67" s="8">
        <v>44511</v>
      </c>
      <c r="K67" s="8" t="s">
        <v>29</v>
      </c>
      <c r="L67" s="5" t="s">
        <v>30</v>
      </c>
      <c r="M67" s="5" t="s">
        <v>24</v>
      </c>
      <c r="N67" s="5">
        <v>6</v>
      </c>
      <c r="O67" s="9">
        <v>2021</v>
      </c>
      <c r="P67" s="9" t="s">
        <v>34</v>
      </c>
    </row>
    <row r="68" spans="1:16" x14ac:dyDescent="0.25">
      <c r="A68" s="3" t="s">
        <v>26</v>
      </c>
      <c r="B68" s="3"/>
      <c r="C68" s="4">
        <v>124194</v>
      </c>
      <c r="D68" s="5" t="s">
        <v>132</v>
      </c>
      <c r="E68" s="6">
        <v>44225</v>
      </c>
      <c r="F68" s="6">
        <v>44630</v>
      </c>
      <c r="G68" s="7" t="s">
        <v>40</v>
      </c>
      <c r="H68" s="4" t="s">
        <v>92</v>
      </c>
      <c r="I68" s="4" t="s">
        <v>22</v>
      </c>
      <c r="J68" s="8">
        <v>44221</v>
      </c>
      <c r="K68" s="8" t="s">
        <v>29</v>
      </c>
      <c r="L68" s="5" t="s">
        <v>95</v>
      </c>
      <c r="M68" s="5" t="s">
        <v>31</v>
      </c>
      <c r="N68" s="5">
        <v>13</v>
      </c>
      <c r="O68" s="9">
        <v>2021</v>
      </c>
      <c r="P68" s="9" t="s">
        <v>34</v>
      </c>
    </row>
    <row r="69" spans="1:16" x14ac:dyDescent="0.25">
      <c r="A69" s="3" t="s">
        <v>26</v>
      </c>
      <c r="B69" s="3"/>
      <c r="C69" s="4">
        <v>185420</v>
      </c>
      <c r="D69" s="5" t="s">
        <v>133</v>
      </c>
      <c r="E69" s="6">
        <v>44246</v>
      </c>
      <c r="F69" s="6">
        <v>45199</v>
      </c>
      <c r="G69" s="5" t="s">
        <v>45</v>
      </c>
      <c r="H69" s="4" t="s">
        <v>92</v>
      </c>
      <c r="I69" s="4" t="s">
        <v>22</v>
      </c>
      <c r="J69" s="8">
        <v>44371</v>
      </c>
      <c r="K69" s="8" t="s">
        <v>29</v>
      </c>
      <c r="L69" s="5" t="s">
        <v>30</v>
      </c>
      <c r="M69" s="5" t="s">
        <v>37</v>
      </c>
      <c r="N69" s="5">
        <v>5</v>
      </c>
      <c r="O69" s="9">
        <v>2021</v>
      </c>
      <c r="P69" s="9" t="s">
        <v>34</v>
      </c>
    </row>
    <row r="70" spans="1:16" x14ac:dyDescent="0.25">
      <c r="A70" s="3" t="s">
        <v>26</v>
      </c>
      <c r="B70" s="3"/>
      <c r="C70" s="4">
        <v>184945</v>
      </c>
      <c r="D70" s="5" t="s">
        <v>134</v>
      </c>
      <c r="E70" s="6">
        <v>44251</v>
      </c>
      <c r="F70" s="6">
        <v>44748</v>
      </c>
      <c r="G70" s="7" t="s">
        <v>40</v>
      </c>
      <c r="H70" s="4" t="s">
        <v>92</v>
      </c>
      <c r="I70" s="4" t="s">
        <v>22</v>
      </c>
      <c r="J70" s="8">
        <v>44466</v>
      </c>
      <c r="K70" s="8" t="s">
        <v>29</v>
      </c>
      <c r="L70" s="5" t="s">
        <v>30</v>
      </c>
      <c r="M70" s="5" t="s">
        <v>31</v>
      </c>
      <c r="N70" s="5">
        <v>10</v>
      </c>
      <c r="O70" s="9">
        <v>2021</v>
      </c>
      <c r="P70" s="9" t="s">
        <v>34</v>
      </c>
    </row>
    <row r="71" spans="1:16" x14ac:dyDescent="0.25">
      <c r="A71" s="3" t="s">
        <v>16</v>
      </c>
      <c r="B71" s="3"/>
      <c r="C71" s="4">
        <v>129852</v>
      </c>
      <c r="D71" s="5" t="s">
        <v>135</v>
      </c>
      <c r="E71" s="6">
        <v>44257</v>
      </c>
      <c r="F71" s="6"/>
      <c r="G71" s="7" t="s">
        <v>60</v>
      </c>
      <c r="H71" s="4" t="s">
        <v>92</v>
      </c>
      <c r="I71" s="4" t="s">
        <v>22</v>
      </c>
      <c r="J71" s="8">
        <v>44200</v>
      </c>
      <c r="K71" s="8" t="s">
        <v>23</v>
      </c>
      <c r="L71" s="5" t="s">
        <v>95</v>
      </c>
      <c r="M71" s="5" t="s">
        <v>24</v>
      </c>
      <c r="N71" s="5">
        <v>10</v>
      </c>
      <c r="O71" s="9">
        <v>2021</v>
      </c>
      <c r="P71" s="9" t="s">
        <v>34</v>
      </c>
    </row>
    <row r="72" spans="1:16" x14ac:dyDescent="0.25">
      <c r="A72" s="3" t="s">
        <v>26</v>
      </c>
      <c r="B72" s="3"/>
      <c r="C72" s="4">
        <v>139272</v>
      </c>
      <c r="D72" s="5" t="s">
        <v>136</v>
      </c>
      <c r="E72" s="6">
        <v>44264</v>
      </c>
      <c r="F72" s="6">
        <v>45107</v>
      </c>
      <c r="G72" s="7" t="s">
        <v>20</v>
      </c>
      <c r="H72" s="4" t="s">
        <v>92</v>
      </c>
      <c r="I72" s="4" t="s">
        <v>41</v>
      </c>
      <c r="J72" s="8">
        <v>44363</v>
      </c>
      <c r="K72" s="8" t="s">
        <v>29</v>
      </c>
      <c r="L72" s="5" t="s">
        <v>30</v>
      </c>
      <c r="M72" s="5" t="s">
        <v>24</v>
      </c>
      <c r="N72" s="5">
        <v>8</v>
      </c>
      <c r="O72" s="9">
        <v>2021</v>
      </c>
      <c r="P72" s="9" t="s">
        <v>34</v>
      </c>
    </row>
    <row r="73" spans="1:16" x14ac:dyDescent="0.25">
      <c r="A73" s="3" t="s">
        <v>16</v>
      </c>
      <c r="B73" s="3"/>
      <c r="C73" s="4">
        <v>194976</v>
      </c>
      <c r="D73" s="5" t="s">
        <v>137</v>
      </c>
      <c r="E73" s="6">
        <v>44271</v>
      </c>
      <c r="F73" s="6"/>
      <c r="G73" s="7" t="s">
        <v>60</v>
      </c>
      <c r="H73" s="4" t="s">
        <v>92</v>
      </c>
      <c r="I73" s="4" t="s">
        <v>41</v>
      </c>
      <c r="J73" s="8">
        <v>44200</v>
      </c>
      <c r="K73" s="8" t="s">
        <v>23</v>
      </c>
      <c r="L73" s="5" t="s">
        <v>30</v>
      </c>
      <c r="M73" s="5" t="s">
        <v>24</v>
      </c>
      <c r="N73" s="5">
        <v>3.5</v>
      </c>
      <c r="O73" s="9">
        <v>2021</v>
      </c>
      <c r="P73" s="9" t="s">
        <v>34</v>
      </c>
    </row>
    <row r="74" spans="1:16" x14ac:dyDescent="0.25">
      <c r="A74" s="3" t="s">
        <v>16</v>
      </c>
      <c r="B74" s="3"/>
      <c r="C74" s="4">
        <v>132557</v>
      </c>
      <c r="D74" s="5" t="s">
        <v>138</v>
      </c>
      <c r="E74" s="6">
        <v>44343</v>
      </c>
      <c r="F74" s="6"/>
      <c r="G74" s="7" t="s">
        <v>40</v>
      </c>
      <c r="H74" s="4" t="s">
        <v>92</v>
      </c>
      <c r="I74" s="4" t="s">
        <v>41</v>
      </c>
      <c r="J74" s="8">
        <v>44429</v>
      </c>
      <c r="K74" s="8" t="s">
        <v>23</v>
      </c>
      <c r="L74" s="5" t="s">
        <v>30</v>
      </c>
      <c r="M74" s="5" t="s">
        <v>37</v>
      </c>
      <c r="N74" s="5">
        <v>7</v>
      </c>
      <c r="O74" s="9">
        <v>2021</v>
      </c>
      <c r="P74" s="9" t="s">
        <v>34</v>
      </c>
    </row>
    <row r="75" spans="1:16" x14ac:dyDescent="0.25">
      <c r="A75" s="3" t="s">
        <v>26</v>
      </c>
      <c r="B75" s="3" t="s">
        <v>139</v>
      </c>
      <c r="C75" s="4">
        <v>187280</v>
      </c>
      <c r="D75" s="5" t="s">
        <v>140</v>
      </c>
      <c r="E75" s="6">
        <v>44418</v>
      </c>
      <c r="F75" s="6">
        <v>44611</v>
      </c>
      <c r="G75" s="7" t="s">
        <v>60</v>
      </c>
      <c r="H75" s="4" t="s">
        <v>92</v>
      </c>
      <c r="I75" s="4" t="s">
        <v>41</v>
      </c>
      <c r="J75" s="8">
        <v>44455</v>
      </c>
      <c r="K75" s="8" t="s">
        <v>23</v>
      </c>
      <c r="L75" s="5" t="s">
        <v>103</v>
      </c>
      <c r="M75" s="5" t="s">
        <v>24</v>
      </c>
      <c r="N75" s="5">
        <v>0</v>
      </c>
      <c r="O75" s="9">
        <v>2021</v>
      </c>
      <c r="P75" s="9" t="s">
        <v>34</v>
      </c>
    </row>
    <row r="76" spans="1:16" x14ac:dyDescent="0.25">
      <c r="A76" s="3" t="s">
        <v>16</v>
      </c>
      <c r="B76" s="3" t="s">
        <v>139</v>
      </c>
      <c r="C76" s="4">
        <v>190396</v>
      </c>
      <c r="D76" s="5" t="s">
        <v>141</v>
      </c>
      <c r="E76" s="6">
        <v>44418</v>
      </c>
      <c r="F76" s="6"/>
      <c r="G76" s="7" t="s">
        <v>60</v>
      </c>
      <c r="H76" s="4" t="s">
        <v>92</v>
      </c>
      <c r="I76" s="4" t="s">
        <v>22</v>
      </c>
      <c r="J76" s="8">
        <v>44513</v>
      </c>
      <c r="K76" s="8" t="s">
        <v>23</v>
      </c>
      <c r="L76" s="5" t="s">
        <v>103</v>
      </c>
      <c r="M76" s="5" t="s">
        <v>24</v>
      </c>
      <c r="N76" s="5">
        <v>0</v>
      </c>
      <c r="O76" s="9">
        <v>2021</v>
      </c>
      <c r="P76" s="9" t="s">
        <v>34</v>
      </c>
    </row>
    <row r="77" spans="1:16" x14ac:dyDescent="0.25">
      <c r="A77" s="3" t="s">
        <v>142</v>
      </c>
      <c r="B77" s="3"/>
      <c r="C77" s="4">
        <v>161242</v>
      </c>
      <c r="D77" s="5" t="s">
        <v>143</v>
      </c>
      <c r="E77" s="6">
        <v>44420</v>
      </c>
      <c r="F77" s="6"/>
      <c r="G77" s="5" t="s">
        <v>55</v>
      </c>
      <c r="H77" s="4" t="s">
        <v>92</v>
      </c>
      <c r="I77" s="4" t="s">
        <v>22</v>
      </c>
      <c r="J77" s="8">
        <v>44556</v>
      </c>
      <c r="K77" s="8" t="s">
        <v>29</v>
      </c>
      <c r="L77" s="5" t="s">
        <v>30</v>
      </c>
      <c r="M77" s="5" t="s">
        <v>24</v>
      </c>
      <c r="N77" s="5">
        <v>10</v>
      </c>
      <c r="O77" s="9">
        <v>2021</v>
      </c>
      <c r="P77" s="9" t="s">
        <v>34</v>
      </c>
    </row>
    <row r="78" spans="1:16" x14ac:dyDescent="0.25">
      <c r="A78" s="3" t="s">
        <v>26</v>
      </c>
      <c r="B78" s="3"/>
      <c r="C78" s="4">
        <v>156965</v>
      </c>
      <c r="D78" s="5" t="s">
        <v>144</v>
      </c>
      <c r="E78" s="6">
        <v>44425</v>
      </c>
      <c r="F78" s="6">
        <v>44636</v>
      </c>
      <c r="G78" s="7" t="s">
        <v>60</v>
      </c>
      <c r="H78" s="4" t="s">
        <v>92</v>
      </c>
      <c r="I78" s="4" t="s">
        <v>41</v>
      </c>
      <c r="J78" s="8">
        <v>44247</v>
      </c>
      <c r="K78" s="8" t="s">
        <v>29</v>
      </c>
      <c r="L78" s="5" t="s">
        <v>30</v>
      </c>
      <c r="M78" s="5" t="s">
        <v>24</v>
      </c>
      <c r="N78" s="5">
        <v>11</v>
      </c>
      <c r="O78" s="9">
        <v>2021</v>
      </c>
      <c r="P78" s="9" t="s">
        <v>34</v>
      </c>
    </row>
    <row r="79" spans="1:16" x14ac:dyDescent="0.25">
      <c r="A79" s="3" t="s">
        <v>26</v>
      </c>
      <c r="B79" s="3"/>
      <c r="C79" s="4">
        <v>192455</v>
      </c>
      <c r="D79" s="5" t="s">
        <v>145</v>
      </c>
      <c r="E79" s="6">
        <v>44440</v>
      </c>
      <c r="F79" s="6">
        <v>44233</v>
      </c>
      <c r="G79" s="7" t="s">
        <v>20</v>
      </c>
      <c r="H79" s="4" t="s">
        <v>92</v>
      </c>
      <c r="I79" s="4" t="s">
        <v>22</v>
      </c>
      <c r="J79" s="8">
        <v>44338</v>
      </c>
      <c r="K79" s="8" t="s">
        <v>29</v>
      </c>
      <c r="L79" s="5" t="s">
        <v>30</v>
      </c>
      <c r="M79" s="5" t="s">
        <v>46</v>
      </c>
      <c r="N79" s="5">
        <v>8</v>
      </c>
      <c r="O79" s="9">
        <v>2021</v>
      </c>
      <c r="P79" s="9" t="s">
        <v>34</v>
      </c>
    </row>
    <row r="80" spans="1:16" x14ac:dyDescent="0.25">
      <c r="A80" s="3" t="s">
        <v>26</v>
      </c>
      <c r="B80" s="3"/>
      <c r="C80" s="4">
        <v>174038</v>
      </c>
      <c r="D80" s="5" t="s">
        <v>146</v>
      </c>
      <c r="E80" s="6">
        <v>44440</v>
      </c>
      <c r="F80" s="6">
        <v>44282</v>
      </c>
      <c r="G80" s="7" t="s">
        <v>60</v>
      </c>
      <c r="H80" s="4" t="s">
        <v>92</v>
      </c>
      <c r="I80" s="4" t="s">
        <v>41</v>
      </c>
      <c r="J80" s="8">
        <v>44540</v>
      </c>
      <c r="K80" s="8" t="s">
        <v>29</v>
      </c>
      <c r="L80" s="5" t="s">
        <v>30</v>
      </c>
      <c r="M80" s="5" t="s">
        <v>31</v>
      </c>
      <c r="N80" s="5">
        <v>12</v>
      </c>
      <c r="O80" s="9">
        <v>2021</v>
      </c>
      <c r="P80" s="9" t="s">
        <v>34</v>
      </c>
    </row>
    <row r="81" spans="1:16" x14ac:dyDescent="0.25">
      <c r="A81" s="3" t="s">
        <v>16</v>
      </c>
      <c r="B81" s="3"/>
      <c r="C81" s="4">
        <v>129765</v>
      </c>
      <c r="D81" s="5" t="s">
        <v>147</v>
      </c>
      <c r="E81" s="6">
        <v>44440</v>
      </c>
      <c r="F81" s="6"/>
      <c r="G81" s="7" t="s">
        <v>20</v>
      </c>
      <c r="H81" s="4" t="s">
        <v>92</v>
      </c>
      <c r="I81" s="4" t="s">
        <v>22</v>
      </c>
      <c r="J81" s="8">
        <v>44211</v>
      </c>
      <c r="K81" s="8" t="s">
        <v>23</v>
      </c>
      <c r="L81" s="5" t="s">
        <v>30</v>
      </c>
      <c r="M81" s="5" t="s">
        <v>24</v>
      </c>
      <c r="N81" s="5">
        <v>5</v>
      </c>
      <c r="O81" s="9">
        <v>2021</v>
      </c>
      <c r="P81" s="9" t="s">
        <v>34</v>
      </c>
    </row>
    <row r="82" spans="1:16" x14ac:dyDescent="0.25">
      <c r="A82" s="3" t="s">
        <v>16</v>
      </c>
      <c r="B82" s="3"/>
      <c r="C82" s="4">
        <v>154732</v>
      </c>
      <c r="D82" s="5" t="s">
        <v>148</v>
      </c>
      <c r="E82" s="6">
        <v>44448</v>
      </c>
      <c r="F82" s="6"/>
      <c r="G82" s="7" t="s">
        <v>68</v>
      </c>
      <c r="H82" s="4" t="s">
        <v>92</v>
      </c>
      <c r="I82" s="4" t="s">
        <v>41</v>
      </c>
      <c r="J82" s="8">
        <v>44507</v>
      </c>
      <c r="K82" s="8" t="s">
        <v>23</v>
      </c>
      <c r="L82" s="5" t="s">
        <v>103</v>
      </c>
      <c r="M82" s="5" t="s">
        <v>24</v>
      </c>
      <c r="N82" s="5">
        <v>0</v>
      </c>
      <c r="O82" s="9">
        <v>2021</v>
      </c>
      <c r="P82" s="9" t="s">
        <v>34</v>
      </c>
    </row>
    <row r="83" spans="1:16" x14ac:dyDescent="0.25">
      <c r="A83" s="3" t="s">
        <v>16</v>
      </c>
      <c r="B83" s="3"/>
      <c r="C83" s="4">
        <v>137413</v>
      </c>
      <c r="D83" s="5" t="s">
        <v>149</v>
      </c>
      <c r="E83" s="6">
        <v>44455</v>
      </c>
      <c r="F83" s="6"/>
      <c r="G83" s="7" t="s">
        <v>68</v>
      </c>
      <c r="H83" s="4" t="s">
        <v>92</v>
      </c>
      <c r="I83" s="4" t="s">
        <v>22</v>
      </c>
      <c r="J83" s="8">
        <v>44220</v>
      </c>
      <c r="K83" s="8" t="s">
        <v>23</v>
      </c>
      <c r="L83" s="5" t="s">
        <v>95</v>
      </c>
      <c r="M83" s="5" t="s">
        <v>24</v>
      </c>
      <c r="N83" s="5">
        <v>9</v>
      </c>
      <c r="O83" s="9">
        <v>2021</v>
      </c>
      <c r="P83" s="9" t="s">
        <v>34</v>
      </c>
    </row>
    <row r="84" spans="1:16" x14ac:dyDescent="0.25">
      <c r="A84" s="3" t="s">
        <v>16</v>
      </c>
      <c r="B84" s="3"/>
      <c r="C84" s="4">
        <v>185734</v>
      </c>
      <c r="D84" s="5" t="s">
        <v>150</v>
      </c>
      <c r="E84" s="6">
        <v>44455</v>
      </c>
      <c r="F84" s="6"/>
      <c r="G84" s="7" t="s">
        <v>60</v>
      </c>
      <c r="H84" s="4" t="s">
        <v>92</v>
      </c>
      <c r="I84" s="4" t="s">
        <v>22</v>
      </c>
      <c r="J84" s="8">
        <v>44536</v>
      </c>
      <c r="K84" s="8" t="s">
        <v>23</v>
      </c>
      <c r="L84" s="5" t="s">
        <v>103</v>
      </c>
      <c r="M84" s="5" t="s">
        <v>52</v>
      </c>
      <c r="N84" s="5">
        <v>0</v>
      </c>
      <c r="O84" s="9">
        <v>2021</v>
      </c>
      <c r="P84" s="9" t="s">
        <v>34</v>
      </c>
    </row>
    <row r="85" spans="1:16" x14ac:dyDescent="0.25">
      <c r="A85" s="3" t="s">
        <v>16</v>
      </c>
      <c r="B85" s="3"/>
      <c r="C85" s="4">
        <v>142749</v>
      </c>
      <c r="D85" s="5" t="s">
        <v>151</v>
      </c>
      <c r="E85" s="6">
        <v>44469</v>
      </c>
      <c r="F85" s="6"/>
      <c r="G85" s="7" t="s">
        <v>60</v>
      </c>
      <c r="H85" s="4" t="s">
        <v>92</v>
      </c>
      <c r="I85" s="4" t="s">
        <v>22</v>
      </c>
      <c r="J85" s="8">
        <v>44381</v>
      </c>
      <c r="K85" s="8" t="s">
        <v>23</v>
      </c>
      <c r="L85" s="5" t="s">
        <v>30</v>
      </c>
      <c r="M85" s="5" t="s">
        <v>24</v>
      </c>
      <c r="N85" s="5">
        <v>17</v>
      </c>
      <c r="O85" s="9">
        <v>2021</v>
      </c>
      <c r="P85" s="9" t="s">
        <v>34</v>
      </c>
    </row>
    <row r="86" spans="1:16" x14ac:dyDescent="0.25">
      <c r="A86" s="3" t="s">
        <v>26</v>
      </c>
      <c r="B86" s="3"/>
      <c r="C86" s="4">
        <v>116657</v>
      </c>
      <c r="D86" s="5" t="s">
        <v>152</v>
      </c>
      <c r="E86" s="6">
        <v>44490</v>
      </c>
      <c r="F86" s="6">
        <v>44740</v>
      </c>
      <c r="G86" s="7" t="s">
        <v>60</v>
      </c>
      <c r="H86" s="4" t="s">
        <v>92</v>
      </c>
      <c r="I86" s="4" t="s">
        <v>22</v>
      </c>
      <c r="J86" s="8">
        <v>44300</v>
      </c>
      <c r="K86" s="8" t="s">
        <v>23</v>
      </c>
      <c r="L86" s="5" t="s">
        <v>30</v>
      </c>
      <c r="M86" s="5" t="s">
        <v>24</v>
      </c>
      <c r="N86" s="5">
        <v>4.5999999999999996</v>
      </c>
      <c r="O86" s="9">
        <v>2021</v>
      </c>
      <c r="P86" s="9" t="s">
        <v>34</v>
      </c>
    </row>
    <row r="87" spans="1:16" x14ac:dyDescent="0.25">
      <c r="A87" s="3" t="s">
        <v>16</v>
      </c>
      <c r="B87" s="3"/>
      <c r="C87" s="4">
        <v>144530</v>
      </c>
      <c r="D87" s="5" t="s">
        <v>153</v>
      </c>
      <c r="E87" s="6">
        <v>44518</v>
      </c>
      <c r="F87" s="6"/>
      <c r="G87" s="7" t="s">
        <v>60</v>
      </c>
      <c r="H87" s="4" t="s">
        <v>92</v>
      </c>
      <c r="I87" s="4" t="s">
        <v>22</v>
      </c>
      <c r="J87" s="8">
        <v>44275</v>
      </c>
      <c r="K87" s="8" t="s">
        <v>23</v>
      </c>
      <c r="L87" s="5" t="s">
        <v>30</v>
      </c>
      <c r="M87" s="5" t="s">
        <v>65</v>
      </c>
      <c r="N87" s="5">
        <v>14</v>
      </c>
      <c r="O87" s="9">
        <v>2021</v>
      </c>
      <c r="P87" s="9" t="s">
        <v>34</v>
      </c>
    </row>
    <row r="88" spans="1:16" x14ac:dyDescent="0.25">
      <c r="A88" s="3" t="s">
        <v>16</v>
      </c>
      <c r="B88" s="3"/>
      <c r="C88" s="4">
        <v>101259</v>
      </c>
      <c r="D88" s="5" t="s">
        <v>154</v>
      </c>
      <c r="E88" s="6">
        <v>44616</v>
      </c>
      <c r="F88" s="6"/>
      <c r="G88" s="7" t="s">
        <v>40</v>
      </c>
      <c r="H88" s="4" t="s">
        <v>92</v>
      </c>
      <c r="I88" s="4" t="s">
        <v>22</v>
      </c>
      <c r="J88" s="8">
        <v>44527</v>
      </c>
      <c r="K88" s="8" t="s">
        <v>29</v>
      </c>
      <c r="L88" s="5" t="s">
        <v>95</v>
      </c>
      <c r="M88" s="5" t="s">
        <v>24</v>
      </c>
      <c r="N88" s="5">
        <v>12</v>
      </c>
      <c r="O88" s="9">
        <v>2022</v>
      </c>
      <c r="P88" s="9" t="s">
        <v>47</v>
      </c>
    </row>
    <row r="89" spans="1:16" x14ac:dyDescent="0.25">
      <c r="A89" s="3" t="s">
        <v>16</v>
      </c>
      <c r="B89" s="3"/>
      <c r="C89" s="4">
        <v>122323</v>
      </c>
      <c r="D89" s="5" t="s">
        <v>155</v>
      </c>
      <c r="E89" s="6">
        <v>44623</v>
      </c>
      <c r="F89" s="6"/>
      <c r="G89" s="5" t="s">
        <v>45</v>
      </c>
      <c r="H89" s="4" t="s">
        <v>92</v>
      </c>
      <c r="I89" s="4" t="s">
        <v>41</v>
      </c>
      <c r="J89" s="8">
        <v>44426</v>
      </c>
      <c r="K89" s="8" t="s">
        <v>29</v>
      </c>
      <c r="L89" s="5" t="s">
        <v>30</v>
      </c>
      <c r="M89" s="5" t="s">
        <v>65</v>
      </c>
      <c r="N89" s="5">
        <v>14</v>
      </c>
      <c r="O89" s="9">
        <v>2022</v>
      </c>
      <c r="P89" s="9" t="s">
        <v>47</v>
      </c>
    </row>
    <row r="90" spans="1:16" x14ac:dyDescent="0.25">
      <c r="A90" s="3" t="s">
        <v>16</v>
      </c>
      <c r="B90" s="3"/>
      <c r="C90" s="4">
        <v>136489</v>
      </c>
      <c r="D90" s="5" t="s">
        <v>156</v>
      </c>
      <c r="E90" s="6">
        <v>44637</v>
      </c>
      <c r="F90" s="6"/>
      <c r="G90" s="7" t="s">
        <v>60</v>
      </c>
      <c r="H90" s="4" t="s">
        <v>92</v>
      </c>
      <c r="I90" s="4" t="s">
        <v>22</v>
      </c>
      <c r="J90" s="8">
        <v>44230</v>
      </c>
      <c r="K90" s="8" t="s">
        <v>29</v>
      </c>
      <c r="L90" s="5" t="s">
        <v>30</v>
      </c>
      <c r="M90" s="5" t="s">
        <v>65</v>
      </c>
      <c r="N90" s="5">
        <v>5.3</v>
      </c>
      <c r="O90" s="9">
        <v>2022</v>
      </c>
      <c r="P90" s="9" t="s">
        <v>47</v>
      </c>
    </row>
    <row r="91" spans="1:16" x14ac:dyDescent="0.25">
      <c r="A91" s="3" t="s">
        <v>16</v>
      </c>
      <c r="B91" s="3"/>
      <c r="C91" s="4">
        <v>107161</v>
      </c>
      <c r="D91" s="5" t="s">
        <v>157</v>
      </c>
      <c r="E91" s="6">
        <v>44644</v>
      </c>
      <c r="F91" s="6"/>
      <c r="G91" s="7" t="s">
        <v>20</v>
      </c>
      <c r="H91" s="4" t="s">
        <v>92</v>
      </c>
      <c r="I91" s="4" t="s">
        <v>41</v>
      </c>
      <c r="J91" s="8">
        <v>44402</v>
      </c>
      <c r="K91" s="8" t="s">
        <v>23</v>
      </c>
      <c r="L91" s="5" t="s">
        <v>103</v>
      </c>
      <c r="M91" s="5" t="s">
        <v>65</v>
      </c>
      <c r="N91" s="5">
        <v>2.5</v>
      </c>
      <c r="O91" s="9">
        <v>2022</v>
      </c>
      <c r="P91" s="9" t="s">
        <v>47</v>
      </c>
    </row>
    <row r="92" spans="1:16" x14ac:dyDescent="0.25">
      <c r="A92" s="3" t="s">
        <v>16</v>
      </c>
      <c r="B92" s="3"/>
      <c r="C92" s="4">
        <v>182061</v>
      </c>
      <c r="D92" s="5" t="s">
        <v>158</v>
      </c>
      <c r="E92" s="6">
        <v>44644</v>
      </c>
      <c r="F92" s="6"/>
      <c r="G92" s="7" t="s">
        <v>60</v>
      </c>
      <c r="H92" s="4" t="s">
        <v>92</v>
      </c>
      <c r="I92" s="4" t="s">
        <v>22</v>
      </c>
      <c r="J92" s="8">
        <v>44322</v>
      </c>
      <c r="K92" s="8" t="s">
        <v>23</v>
      </c>
      <c r="L92" s="5" t="s">
        <v>30</v>
      </c>
      <c r="M92" s="5" t="s">
        <v>65</v>
      </c>
      <c r="N92" s="5">
        <v>2.11</v>
      </c>
      <c r="O92" s="9">
        <v>2022</v>
      </c>
      <c r="P92" s="9" t="s">
        <v>47</v>
      </c>
    </row>
    <row r="93" spans="1:16" x14ac:dyDescent="0.25">
      <c r="A93" s="3" t="s">
        <v>16</v>
      </c>
      <c r="B93" s="3"/>
      <c r="C93" s="4">
        <v>123190</v>
      </c>
      <c r="D93" s="5" t="s">
        <v>159</v>
      </c>
      <c r="E93" s="6">
        <v>44658</v>
      </c>
      <c r="F93" s="6"/>
      <c r="G93" s="7" t="s">
        <v>60</v>
      </c>
      <c r="H93" s="4" t="s">
        <v>92</v>
      </c>
      <c r="I93" s="4" t="s">
        <v>41</v>
      </c>
      <c r="J93" s="8">
        <v>44214</v>
      </c>
      <c r="K93" s="8" t="s">
        <v>23</v>
      </c>
      <c r="L93" s="5" t="s">
        <v>103</v>
      </c>
      <c r="M93" s="5" t="s">
        <v>65</v>
      </c>
      <c r="N93" s="5">
        <v>0</v>
      </c>
      <c r="O93" s="9">
        <v>2022</v>
      </c>
      <c r="P93" s="9" t="s">
        <v>47</v>
      </c>
    </row>
    <row r="94" spans="1:16" x14ac:dyDescent="0.25">
      <c r="A94" s="3" t="s">
        <v>16</v>
      </c>
      <c r="B94" s="3"/>
      <c r="C94" s="4">
        <v>118638</v>
      </c>
      <c r="D94" s="5" t="s">
        <v>160</v>
      </c>
      <c r="E94" s="6">
        <v>44658</v>
      </c>
      <c r="F94" s="6"/>
      <c r="G94" s="7" t="s">
        <v>60</v>
      </c>
      <c r="H94" s="4" t="s">
        <v>92</v>
      </c>
      <c r="I94" s="4" t="s">
        <v>22</v>
      </c>
      <c r="J94" s="8">
        <v>44524</v>
      </c>
      <c r="K94" s="8" t="s">
        <v>29</v>
      </c>
      <c r="L94" s="5" t="s">
        <v>30</v>
      </c>
      <c r="M94" s="5" t="s">
        <v>65</v>
      </c>
      <c r="N94" s="5">
        <v>15</v>
      </c>
      <c r="O94" s="9">
        <v>2022</v>
      </c>
      <c r="P94" s="9" t="s">
        <v>47</v>
      </c>
    </row>
    <row r="95" spans="1:16" x14ac:dyDescent="0.25">
      <c r="A95" s="3" t="s">
        <v>16</v>
      </c>
      <c r="B95" s="3"/>
      <c r="C95" s="4">
        <v>132330</v>
      </c>
      <c r="D95" s="5" t="s">
        <v>161</v>
      </c>
      <c r="E95" s="6">
        <v>44665</v>
      </c>
      <c r="F95" s="6"/>
      <c r="G95" s="5" t="s">
        <v>55</v>
      </c>
      <c r="H95" s="4" t="s">
        <v>92</v>
      </c>
      <c r="I95" s="4" t="s">
        <v>22</v>
      </c>
      <c r="J95" s="8">
        <v>44483</v>
      </c>
      <c r="K95" s="8" t="s">
        <v>29</v>
      </c>
      <c r="L95" s="5" t="s">
        <v>95</v>
      </c>
      <c r="M95" s="5" t="s">
        <v>52</v>
      </c>
      <c r="N95" s="5">
        <v>14</v>
      </c>
      <c r="O95" s="9">
        <v>2022</v>
      </c>
      <c r="P95" s="9" t="s">
        <v>47</v>
      </c>
    </row>
    <row r="96" spans="1:16" x14ac:dyDescent="0.25">
      <c r="A96" s="3" t="s">
        <v>16</v>
      </c>
      <c r="B96" s="3"/>
      <c r="C96" s="4">
        <v>191594</v>
      </c>
      <c r="D96" s="5" t="s">
        <v>162</v>
      </c>
      <c r="E96" s="6">
        <v>44670</v>
      </c>
      <c r="F96" s="6"/>
      <c r="G96" s="5" t="s">
        <v>45</v>
      </c>
      <c r="H96" s="4" t="s">
        <v>92</v>
      </c>
      <c r="I96" s="4" t="s">
        <v>22</v>
      </c>
      <c r="J96" s="8">
        <v>44446</v>
      </c>
      <c r="K96" s="8" t="s">
        <v>29</v>
      </c>
      <c r="L96" s="5" t="s">
        <v>30</v>
      </c>
      <c r="M96" s="5" t="s">
        <v>24</v>
      </c>
      <c r="N96" s="5">
        <v>8</v>
      </c>
      <c r="O96" s="9">
        <v>2022</v>
      </c>
      <c r="P96" s="9" t="s">
        <v>47</v>
      </c>
    </row>
    <row r="97" spans="1:16" x14ac:dyDescent="0.25">
      <c r="A97" s="3" t="s">
        <v>142</v>
      </c>
      <c r="B97" s="3"/>
      <c r="C97" s="4">
        <v>152991</v>
      </c>
      <c r="D97" s="5" t="s">
        <v>163</v>
      </c>
      <c r="E97" s="6">
        <v>44686</v>
      </c>
      <c r="F97" s="6"/>
      <c r="G97" s="7" t="s">
        <v>40</v>
      </c>
      <c r="H97" s="4" t="s">
        <v>92</v>
      </c>
      <c r="I97" s="4" t="s">
        <v>22</v>
      </c>
      <c r="J97" s="8">
        <v>44245</v>
      </c>
      <c r="K97" s="8" t="s">
        <v>29</v>
      </c>
      <c r="L97" s="5" t="s">
        <v>30</v>
      </c>
      <c r="M97" s="5" t="s">
        <v>24</v>
      </c>
      <c r="N97" s="5">
        <v>15</v>
      </c>
      <c r="O97" s="9">
        <v>2022</v>
      </c>
      <c r="P97" s="9" t="s">
        <v>47</v>
      </c>
    </row>
    <row r="98" spans="1:16" x14ac:dyDescent="0.25">
      <c r="A98" s="3" t="s">
        <v>26</v>
      </c>
      <c r="B98" s="3" t="s">
        <v>139</v>
      </c>
      <c r="C98" s="4">
        <v>101996</v>
      </c>
      <c r="D98" s="5" t="s">
        <v>164</v>
      </c>
      <c r="E98" s="6">
        <v>44742</v>
      </c>
      <c r="F98" s="6">
        <v>45108</v>
      </c>
      <c r="G98" s="7" t="s">
        <v>40</v>
      </c>
      <c r="H98" s="4" t="s">
        <v>92</v>
      </c>
      <c r="I98" s="4" t="s">
        <v>22</v>
      </c>
      <c r="J98" s="8">
        <v>44414</v>
      </c>
      <c r="K98" s="8" t="s">
        <v>23</v>
      </c>
      <c r="L98" s="5" t="s">
        <v>103</v>
      </c>
      <c r="M98" s="5" t="s">
        <v>65</v>
      </c>
      <c r="N98" s="5">
        <v>1</v>
      </c>
      <c r="O98" s="9">
        <v>2022</v>
      </c>
      <c r="P98" s="9" t="s">
        <v>47</v>
      </c>
    </row>
    <row r="99" spans="1:16" x14ac:dyDescent="0.25">
      <c r="A99" s="3" t="s">
        <v>26</v>
      </c>
      <c r="B99" s="3"/>
      <c r="C99" s="4">
        <v>138939</v>
      </c>
      <c r="D99" s="5" t="s">
        <v>165</v>
      </c>
      <c r="E99" s="6">
        <v>44749</v>
      </c>
      <c r="F99" s="6">
        <v>45054</v>
      </c>
      <c r="G99" s="7" t="s">
        <v>40</v>
      </c>
      <c r="H99" s="4" t="s">
        <v>92</v>
      </c>
      <c r="I99" s="4" t="s">
        <v>41</v>
      </c>
      <c r="J99" s="8">
        <v>44289</v>
      </c>
      <c r="K99" s="8" t="s">
        <v>29</v>
      </c>
      <c r="L99" s="5" t="s">
        <v>30</v>
      </c>
      <c r="M99" s="5" t="s">
        <v>24</v>
      </c>
      <c r="N99" s="5">
        <v>6</v>
      </c>
      <c r="O99" s="9">
        <v>2022</v>
      </c>
      <c r="P99" s="9" t="s">
        <v>47</v>
      </c>
    </row>
    <row r="100" spans="1:16" x14ac:dyDescent="0.25">
      <c r="A100" s="3" t="s">
        <v>26</v>
      </c>
      <c r="B100" s="3"/>
      <c r="C100" s="4">
        <v>198396</v>
      </c>
      <c r="D100" s="5" t="s">
        <v>166</v>
      </c>
      <c r="E100" s="6">
        <v>44763</v>
      </c>
      <c r="F100" s="6">
        <v>45324</v>
      </c>
      <c r="G100" s="7" t="s">
        <v>40</v>
      </c>
      <c r="H100" s="4" t="s">
        <v>92</v>
      </c>
      <c r="I100" s="4" t="s">
        <v>22</v>
      </c>
      <c r="J100" s="8">
        <v>44208</v>
      </c>
      <c r="K100" s="8" t="s">
        <v>29</v>
      </c>
      <c r="L100" s="5" t="s">
        <v>95</v>
      </c>
      <c r="M100" s="5" t="s">
        <v>31</v>
      </c>
      <c r="N100" s="5">
        <v>18</v>
      </c>
      <c r="O100" s="9">
        <v>2022</v>
      </c>
      <c r="P100" s="9" t="s">
        <v>47</v>
      </c>
    </row>
    <row r="101" spans="1:16" x14ac:dyDescent="0.25">
      <c r="A101" s="3" t="s">
        <v>16</v>
      </c>
      <c r="B101" s="3"/>
      <c r="C101" s="4">
        <v>194143</v>
      </c>
      <c r="D101" s="5" t="s">
        <v>167</v>
      </c>
      <c r="E101" s="6">
        <v>44763</v>
      </c>
      <c r="F101" s="6"/>
      <c r="G101" s="7" t="s">
        <v>60</v>
      </c>
      <c r="H101" s="4" t="s">
        <v>92</v>
      </c>
      <c r="I101" s="4" t="s">
        <v>22</v>
      </c>
      <c r="J101" s="8">
        <v>44248</v>
      </c>
      <c r="K101" s="8" t="s">
        <v>29</v>
      </c>
      <c r="L101" s="5" t="s">
        <v>30</v>
      </c>
      <c r="M101" s="5" t="s">
        <v>65</v>
      </c>
      <c r="N101" s="5">
        <v>6.5</v>
      </c>
      <c r="O101" s="9">
        <v>2022</v>
      </c>
      <c r="P101" s="9" t="s">
        <v>47</v>
      </c>
    </row>
    <row r="102" spans="1:16" x14ac:dyDescent="0.25">
      <c r="A102" s="3" t="s">
        <v>142</v>
      </c>
      <c r="B102" s="3"/>
      <c r="C102" s="4">
        <v>134729</v>
      </c>
      <c r="D102" s="5" t="s">
        <v>168</v>
      </c>
      <c r="E102" s="6">
        <v>44768</v>
      </c>
      <c r="F102" s="6"/>
      <c r="G102" s="7" t="s">
        <v>40</v>
      </c>
      <c r="H102" s="4" t="s">
        <v>92</v>
      </c>
      <c r="I102" s="4" t="s">
        <v>22</v>
      </c>
      <c r="J102" s="8">
        <v>44206</v>
      </c>
      <c r="K102" s="8" t="s">
        <v>23</v>
      </c>
      <c r="L102" s="5" t="s">
        <v>30</v>
      </c>
      <c r="M102" s="5" t="s">
        <v>24</v>
      </c>
      <c r="N102" s="5">
        <v>7</v>
      </c>
      <c r="O102" s="9">
        <v>2022</v>
      </c>
      <c r="P102" s="9" t="s">
        <v>47</v>
      </c>
    </row>
    <row r="103" spans="1:16" x14ac:dyDescent="0.25">
      <c r="A103" s="3" t="s">
        <v>26</v>
      </c>
      <c r="B103" s="3"/>
      <c r="C103" s="4">
        <v>186526</v>
      </c>
      <c r="D103" s="5" t="s">
        <v>169</v>
      </c>
      <c r="E103" s="6">
        <v>44805</v>
      </c>
      <c r="F103" s="6">
        <v>45269</v>
      </c>
      <c r="G103" s="7" t="s">
        <v>60</v>
      </c>
      <c r="H103" s="4" t="s">
        <v>92</v>
      </c>
      <c r="I103" s="4" t="s">
        <v>41</v>
      </c>
      <c r="J103" s="8">
        <v>44540</v>
      </c>
      <c r="K103" s="8" t="s">
        <v>29</v>
      </c>
      <c r="L103" s="5" t="s">
        <v>103</v>
      </c>
      <c r="M103" s="5" t="s">
        <v>65</v>
      </c>
      <c r="N103" s="5">
        <v>1.8</v>
      </c>
      <c r="O103" s="9">
        <v>2022</v>
      </c>
      <c r="P103" s="9" t="s">
        <v>47</v>
      </c>
    </row>
    <row r="104" spans="1:16" x14ac:dyDescent="0.25">
      <c r="A104" s="3" t="s">
        <v>16</v>
      </c>
      <c r="B104" s="3"/>
      <c r="C104" s="4">
        <v>115395</v>
      </c>
      <c r="D104" s="5" t="s">
        <v>170</v>
      </c>
      <c r="E104" s="6">
        <v>44805</v>
      </c>
      <c r="F104" s="6"/>
      <c r="G104" s="7" t="s">
        <v>60</v>
      </c>
      <c r="H104" s="4" t="s">
        <v>92</v>
      </c>
      <c r="I104" s="4" t="s">
        <v>41</v>
      </c>
      <c r="J104" s="8">
        <v>44495</v>
      </c>
      <c r="K104" s="8" t="s">
        <v>23</v>
      </c>
      <c r="L104" s="5" t="s">
        <v>103</v>
      </c>
      <c r="M104" s="5" t="s">
        <v>65</v>
      </c>
      <c r="N104" s="5">
        <v>3.5</v>
      </c>
      <c r="O104" s="9">
        <v>2022</v>
      </c>
      <c r="P104" s="9" t="s">
        <v>47</v>
      </c>
    </row>
    <row r="105" spans="1:16" x14ac:dyDescent="0.25">
      <c r="A105" s="3" t="s">
        <v>16</v>
      </c>
      <c r="B105" s="3"/>
      <c r="C105" s="4">
        <v>160948</v>
      </c>
      <c r="D105" s="5" t="s">
        <v>171</v>
      </c>
      <c r="E105" s="6">
        <v>44805</v>
      </c>
      <c r="F105" s="6"/>
      <c r="G105" s="7" t="s">
        <v>60</v>
      </c>
      <c r="H105" s="4" t="s">
        <v>92</v>
      </c>
      <c r="I105" s="4" t="s">
        <v>41</v>
      </c>
      <c r="J105" s="8">
        <v>44472</v>
      </c>
      <c r="K105" s="8" t="s">
        <v>23</v>
      </c>
      <c r="L105" s="5" t="s">
        <v>103</v>
      </c>
      <c r="M105" s="5" t="s">
        <v>65</v>
      </c>
      <c r="N105" s="5">
        <v>0</v>
      </c>
      <c r="O105" s="9">
        <v>2022</v>
      </c>
      <c r="P105" s="9" t="s">
        <v>47</v>
      </c>
    </row>
    <row r="106" spans="1:16" x14ac:dyDescent="0.25">
      <c r="A106" s="3" t="s">
        <v>16</v>
      </c>
      <c r="B106" s="3"/>
      <c r="C106" s="4">
        <v>163814</v>
      </c>
      <c r="D106" s="5" t="s">
        <v>172</v>
      </c>
      <c r="E106" s="6">
        <v>44805</v>
      </c>
      <c r="F106" s="6"/>
      <c r="G106" s="7" t="s">
        <v>20</v>
      </c>
      <c r="H106" s="4" t="s">
        <v>92</v>
      </c>
      <c r="I106" s="4" t="s">
        <v>22</v>
      </c>
      <c r="J106" s="8">
        <v>44208</v>
      </c>
      <c r="K106" s="8" t="s">
        <v>23</v>
      </c>
      <c r="L106" s="5" t="s">
        <v>103</v>
      </c>
      <c r="M106" s="5" t="s">
        <v>65</v>
      </c>
      <c r="N106" s="5">
        <v>2</v>
      </c>
      <c r="O106" s="9">
        <v>2022</v>
      </c>
      <c r="P106" s="9" t="s">
        <v>47</v>
      </c>
    </row>
    <row r="107" spans="1:16" x14ac:dyDescent="0.25">
      <c r="A107" s="3" t="s">
        <v>16</v>
      </c>
      <c r="B107" s="3"/>
      <c r="C107" s="4">
        <v>163161</v>
      </c>
      <c r="D107" s="5" t="s">
        <v>173</v>
      </c>
      <c r="E107" s="6">
        <v>44805</v>
      </c>
      <c r="F107" s="6"/>
      <c r="G107" s="7" t="s">
        <v>60</v>
      </c>
      <c r="H107" s="4" t="s">
        <v>92</v>
      </c>
      <c r="I107" s="4" t="s">
        <v>22</v>
      </c>
      <c r="J107" s="8">
        <v>44215</v>
      </c>
      <c r="K107" s="8" t="s">
        <v>29</v>
      </c>
      <c r="L107" s="5" t="s">
        <v>30</v>
      </c>
      <c r="M107" s="5" t="s">
        <v>65</v>
      </c>
      <c r="N107" s="5">
        <v>13</v>
      </c>
      <c r="O107" s="9">
        <v>2022</v>
      </c>
      <c r="P107" s="9" t="s">
        <v>47</v>
      </c>
    </row>
    <row r="108" spans="1:16" x14ac:dyDescent="0.25">
      <c r="A108" s="3" t="s">
        <v>16</v>
      </c>
      <c r="B108" s="3"/>
      <c r="C108" s="4">
        <v>173240</v>
      </c>
      <c r="D108" s="5" t="s">
        <v>174</v>
      </c>
      <c r="E108" s="6">
        <v>44819</v>
      </c>
      <c r="F108" s="6"/>
      <c r="G108" s="7" t="s">
        <v>20</v>
      </c>
      <c r="H108" s="4" t="s">
        <v>92</v>
      </c>
      <c r="I108" s="4" t="s">
        <v>41</v>
      </c>
      <c r="J108" s="8">
        <v>44229</v>
      </c>
      <c r="K108" s="8" t="s">
        <v>29</v>
      </c>
      <c r="L108" s="5" t="s">
        <v>30</v>
      </c>
      <c r="M108" s="5" t="s">
        <v>65</v>
      </c>
      <c r="N108" s="5">
        <v>8.1999999999999993</v>
      </c>
      <c r="O108" s="9">
        <v>2022</v>
      </c>
      <c r="P108" s="9" t="s">
        <v>47</v>
      </c>
    </row>
    <row r="109" spans="1:16" x14ac:dyDescent="0.25">
      <c r="A109" s="3" t="s">
        <v>16</v>
      </c>
      <c r="B109" s="3"/>
      <c r="C109" s="4">
        <v>109673</v>
      </c>
      <c r="D109" s="5" t="s">
        <v>175</v>
      </c>
      <c r="E109" s="6">
        <v>44840</v>
      </c>
      <c r="F109" s="6"/>
      <c r="G109" s="7" t="s">
        <v>60</v>
      </c>
      <c r="H109" s="4" t="s">
        <v>92</v>
      </c>
      <c r="I109" s="4" t="s">
        <v>22</v>
      </c>
      <c r="J109" s="8">
        <v>44326</v>
      </c>
      <c r="K109" s="8" t="s">
        <v>23</v>
      </c>
      <c r="L109" s="5" t="s">
        <v>103</v>
      </c>
      <c r="M109" s="5" t="s">
        <v>65</v>
      </c>
      <c r="N109" s="5">
        <v>7.6</v>
      </c>
      <c r="O109" s="9">
        <v>2022</v>
      </c>
      <c r="P109" s="9" t="s">
        <v>47</v>
      </c>
    </row>
    <row r="110" spans="1:16" x14ac:dyDescent="0.25">
      <c r="A110" s="3" t="s">
        <v>16</v>
      </c>
      <c r="B110" s="3"/>
      <c r="C110" s="4">
        <v>138302</v>
      </c>
      <c r="D110" s="5" t="s">
        <v>176</v>
      </c>
      <c r="E110" s="6">
        <v>44847</v>
      </c>
      <c r="F110" s="6"/>
      <c r="G110" s="7" t="s">
        <v>60</v>
      </c>
      <c r="H110" s="4" t="s">
        <v>92</v>
      </c>
      <c r="I110" s="4" t="s">
        <v>22</v>
      </c>
      <c r="J110" s="8">
        <v>44433</v>
      </c>
      <c r="K110" s="8" t="s">
        <v>23</v>
      </c>
      <c r="L110" s="5" t="s">
        <v>103</v>
      </c>
      <c r="M110" s="5" t="s">
        <v>65</v>
      </c>
      <c r="N110" s="5">
        <v>6.2</v>
      </c>
      <c r="O110" s="9">
        <v>2022</v>
      </c>
      <c r="P110" s="9" t="s">
        <v>47</v>
      </c>
    </row>
    <row r="111" spans="1:16" x14ac:dyDescent="0.25">
      <c r="A111" s="3" t="s">
        <v>142</v>
      </c>
      <c r="B111" s="3"/>
      <c r="C111" s="4">
        <v>126765</v>
      </c>
      <c r="D111" s="5" t="s">
        <v>177</v>
      </c>
      <c r="E111" s="6">
        <v>44868</v>
      </c>
      <c r="F111" s="6"/>
      <c r="G111" s="7" t="s">
        <v>40</v>
      </c>
      <c r="H111" s="4" t="s">
        <v>92</v>
      </c>
      <c r="I111" s="4" t="s">
        <v>22</v>
      </c>
      <c r="J111" s="8">
        <v>44217</v>
      </c>
      <c r="K111" s="8" t="s">
        <v>29</v>
      </c>
      <c r="L111" s="5" t="s">
        <v>30</v>
      </c>
      <c r="M111" s="5" t="s">
        <v>24</v>
      </c>
      <c r="N111" s="5">
        <v>15</v>
      </c>
      <c r="O111" s="9">
        <v>2022</v>
      </c>
      <c r="P111" s="9" t="s">
        <v>47</v>
      </c>
    </row>
    <row r="112" spans="1:16" x14ac:dyDescent="0.25">
      <c r="A112" s="3" t="s">
        <v>142</v>
      </c>
      <c r="B112" s="3"/>
      <c r="C112" s="4">
        <v>188099</v>
      </c>
      <c r="D112" s="5" t="s">
        <v>178</v>
      </c>
      <c r="E112" s="6">
        <v>44901</v>
      </c>
      <c r="F112" s="6"/>
      <c r="G112" s="7" t="s">
        <v>40</v>
      </c>
      <c r="H112" s="4" t="s">
        <v>92</v>
      </c>
      <c r="I112" s="4" t="s">
        <v>22</v>
      </c>
      <c r="J112" s="8">
        <v>44332</v>
      </c>
      <c r="K112" s="8" t="s">
        <v>29</v>
      </c>
      <c r="L112" s="5" t="s">
        <v>30</v>
      </c>
      <c r="M112" s="5" t="s">
        <v>24</v>
      </c>
      <c r="N112" s="5">
        <v>16</v>
      </c>
      <c r="O112" s="9">
        <v>2022</v>
      </c>
      <c r="P112" s="9" t="s">
        <v>69</v>
      </c>
    </row>
    <row r="113" spans="1:16" x14ac:dyDescent="0.25">
      <c r="A113" s="3" t="s">
        <v>16</v>
      </c>
      <c r="B113" s="3" t="s">
        <v>139</v>
      </c>
      <c r="C113" s="4">
        <v>115441</v>
      </c>
      <c r="D113" s="5" t="s">
        <v>179</v>
      </c>
      <c r="E113" s="6">
        <v>44958</v>
      </c>
      <c r="F113" s="6"/>
      <c r="G113" s="7" t="s">
        <v>40</v>
      </c>
      <c r="H113" s="4" t="s">
        <v>92</v>
      </c>
      <c r="I113" s="4" t="s">
        <v>22</v>
      </c>
      <c r="J113" s="8">
        <v>44377</v>
      </c>
      <c r="K113" s="8" t="s">
        <v>23</v>
      </c>
      <c r="L113" s="5" t="s">
        <v>103</v>
      </c>
      <c r="M113" s="5" t="s">
        <v>46</v>
      </c>
      <c r="N113" s="5">
        <v>1.5</v>
      </c>
      <c r="O113" s="9">
        <v>2023</v>
      </c>
      <c r="P113" s="9" t="s">
        <v>69</v>
      </c>
    </row>
    <row r="114" spans="1:16" x14ac:dyDescent="0.25">
      <c r="A114" s="3" t="s">
        <v>16</v>
      </c>
      <c r="B114" s="3" t="s">
        <v>139</v>
      </c>
      <c r="C114" s="4">
        <v>169669</v>
      </c>
      <c r="D114" s="5" t="s">
        <v>180</v>
      </c>
      <c r="E114" s="6">
        <v>45027</v>
      </c>
      <c r="F114" s="6"/>
      <c r="G114" s="7" t="s">
        <v>40</v>
      </c>
      <c r="H114" s="4" t="s">
        <v>92</v>
      </c>
      <c r="I114" s="4" t="s">
        <v>41</v>
      </c>
      <c r="J114" s="8">
        <v>44639</v>
      </c>
      <c r="K114" s="8" t="s">
        <v>29</v>
      </c>
      <c r="L114" s="5" t="s">
        <v>30</v>
      </c>
      <c r="M114" s="5" t="s">
        <v>37</v>
      </c>
      <c r="N114" s="5">
        <v>6</v>
      </c>
      <c r="O114" s="9">
        <v>2023</v>
      </c>
      <c r="P114" s="9" t="s">
        <v>69</v>
      </c>
    </row>
    <row r="115" spans="1:16" x14ac:dyDescent="0.25">
      <c r="A115" s="3" t="s">
        <v>16</v>
      </c>
      <c r="B115" s="3"/>
      <c r="C115" s="4">
        <v>100957</v>
      </c>
      <c r="D115" s="5" t="s">
        <v>181</v>
      </c>
      <c r="E115" s="6">
        <v>45036</v>
      </c>
      <c r="F115" s="6"/>
      <c r="G115" s="7" t="s">
        <v>40</v>
      </c>
      <c r="H115" s="4" t="s">
        <v>92</v>
      </c>
      <c r="I115" s="4" t="s">
        <v>41</v>
      </c>
      <c r="J115" s="8">
        <v>44632</v>
      </c>
      <c r="K115" s="8" t="s">
        <v>29</v>
      </c>
      <c r="L115" s="5" t="s">
        <v>30</v>
      </c>
      <c r="M115" s="5" t="s">
        <v>24</v>
      </c>
      <c r="N115" s="5">
        <v>8</v>
      </c>
      <c r="O115" s="9">
        <v>2023</v>
      </c>
      <c r="P115" s="9" t="s">
        <v>69</v>
      </c>
    </row>
    <row r="116" spans="1:16" x14ac:dyDescent="0.25">
      <c r="A116" s="3" t="s">
        <v>142</v>
      </c>
      <c r="B116" s="3"/>
      <c r="C116" s="4">
        <v>193737</v>
      </c>
      <c r="D116" s="5" t="s">
        <v>182</v>
      </c>
      <c r="E116" s="6">
        <v>45057</v>
      </c>
      <c r="F116" s="6"/>
      <c r="G116" s="7" t="s">
        <v>40</v>
      </c>
      <c r="H116" s="4" t="s">
        <v>92</v>
      </c>
      <c r="I116" s="4" t="s">
        <v>22</v>
      </c>
      <c r="J116" s="8">
        <v>44847</v>
      </c>
      <c r="K116" s="8" t="s">
        <v>29</v>
      </c>
      <c r="L116" s="5" t="s">
        <v>30</v>
      </c>
      <c r="M116" s="5" t="s">
        <v>24</v>
      </c>
      <c r="N116" s="5">
        <v>11.5</v>
      </c>
      <c r="O116" s="9">
        <v>2023</v>
      </c>
      <c r="P116" s="9" t="s">
        <v>69</v>
      </c>
    </row>
    <row r="117" spans="1:16" x14ac:dyDescent="0.25">
      <c r="A117" s="3" t="s">
        <v>16</v>
      </c>
      <c r="B117" s="3"/>
      <c r="C117" s="4">
        <v>180698</v>
      </c>
      <c r="D117" s="5" t="s">
        <v>183</v>
      </c>
      <c r="E117" s="6">
        <v>45064</v>
      </c>
      <c r="F117" s="6"/>
      <c r="G117" s="7" t="s">
        <v>40</v>
      </c>
      <c r="H117" s="4" t="s">
        <v>92</v>
      </c>
      <c r="I117" s="4" t="s">
        <v>22</v>
      </c>
      <c r="J117" s="8">
        <v>44629</v>
      </c>
      <c r="K117" s="8" t="s">
        <v>23</v>
      </c>
      <c r="L117" s="5" t="s">
        <v>30</v>
      </c>
      <c r="M117" s="5" t="s">
        <v>24</v>
      </c>
      <c r="N117" s="5">
        <v>3.5</v>
      </c>
      <c r="O117" s="9">
        <v>2023</v>
      </c>
      <c r="P117" s="9" t="s">
        <v>69</v>
      </c>
    </row>
    <row r="118" spans="1:16" x14ac:dyDescent="0.25">
      <c r="A118" s="3" t="s">
        <v>26</v>
      </c>
      <c r="B118" s="3"/>
      <c r="C118" s="4">
        <v>124433</v>
      </c>
      <c r="D118" s="5" t="s">
        <v>184</v>
      </c>
      <c r="E118" s="6">
        <v>45078</v>
      </c>
      <c r="F118" s="6">
        <v>45118</v>
      </c>
      <c r="G118" s="7" t="s">
        <v>60</v>
      </c>
      <c r="H118" s="4" t="s">
        <v>92</v>
      </c>
      <c r="I118" s="4" t="s">
        <v>41</v>
      </c>
      <c r="J118" s="8">
        <v>44867</v>
      </c>
      <c r="K118" s="8" t="s">
        <v>23</v>
      </c>
      <c r="L118" s="5" t="s">
        <v>103</v>
      </c>
      <c r="M118" s="5" t="s">
        <v>52</v>
      </c>
      <c r="N118" s="5">
        <v>0</v>
      </c>
      <c r="O118" s="9">
        <v>2023</v>
      </c>
      <c r="P118" s="9" t="s">
        <v>69</v>
      </c>
    </row>
    <row r="119" spans="1:16" x14ac:dyDescent="0.25">
      <c r="A119" s="3" t="s">
        <v>16</v>
      </c>
      <c r="B119" s="3" t="s">
        <v>139</v>
      </c>
      <c r="C119" s="4">
        <v>151636</v>
      </c>
      <c r="D119" s="5" t="s">
        <v>185</v>
      </c>
      <c r="E119" s="6">
        <v>45083</v>
      </c>
      <c r="F119" s="6"/>
      <c r="G119" s="7" t="s">
        <v>40</v>
      </c>
      <c r="H119" s="4" t="s">
        <v>92</v>
      </c>
      <c r="I119" s="4" t="s">
        <v>22</v>
      </c>
      <c r="J119" s="8">
        <v>44255</v>
      </c>
      <c r="K119" s="8" t="s">
        <v>23</v>
      </c>
      <c r="L119" s="5" t="s">
        <v>103</v>
      </c>
      <c r="M119" s="5" t="s">
        <v>52</v>
      </c>
      <c r="N119" s="5">
        <v>1.8</v>
      </c>
      <c r="O119" s="9">
        <v>2023</v>
      </c>
      <c r="P119" s="9" t="s">
        <v>69</v>
      </c>
    </row>
    <row r="120" spans="1:16" x14ac:dyDescent="0.25">
      <c r="A120" s="3" t="s">
        <v>16</v>
      </c>
      <c r="B120" s="3" t="s">
        <v>139</v>
      </c>
      <c r="C120" s="4">
        <v>173529</v>
      </c>
      <c r="D120" s="5" t="s">
        <v>186</v>
      </c>
      <c r="E120" s="6">
        <v>45083</v>
      </c>
      <c r="F120" s="6"/>
      <c r="G120" s="7" t="s">
        <v>40</v>
      </c>
      <c r="H120" s="4" t="s">
        <v>92</v>
      </c>
      <c r="I120" s="4" t="s">
        <v>41</v>
      </c>
      <c r="J120" s="8">
        <v>44204</v>
      </c>
      <c r="K120" s="8" t="s">
        <v>23</v>
      </c>
      <c r="L120" s="5" t="s">
        <v>103</v>
      </c>
      <c r="M120" s="5" t="s">
        <v>52</v>
      </c>
      <c r="N120" s="5">
        <v>1.5</v>
      </c>
      <c r="O120" s="9">
        <v>2023</v>
      </c>
      <c r="P120" s="9" t="s">
        <v>69</v>
      </c>
    </row>
    <row r="121" spans="1:16" x14ac:dyDescent="0.25">
      <c r="A121" s="3" t="s">
        <v>16</v>
      </c>
      <c r="B121" s="3" t="s">
        <v>139</v>
      </c>
      <c r="C121" s="4">
        <v>116633</v>
      </c>
      <c r="D121" s="5" t="s">
        <v>187</v>
      </c>
      <c r="E121" s="6">
        <v>45083</v>
      </c>
      <c r="F121" s="6"/>
      <c r="G121" s="7" t="s">
        <v>40</v>
      </c>
      <c r="H121" s="4" t="s">
        <v>92</v>
      </c>
      <c r="I121" s="4" t="s">
        <v>41</v>
      </c>
      <c r="J121" s="8">
        <v>44218</v>
      </c>
      <c r="K121" s="8" t="s">
        <v>23</v>
      </c>
      <c r="L121" s="5" t="s">
        <v>103</v>
      </c>
      <c r="M121" s="5" t="s">
        <v>52</v>
      </c>
      <c r="N121" s="5">
        <v>0.11</v>
      </c>
      <c r="O121" s="9">
        <v>2023</v>
      </c>
      <c r="P121" s="9" t="s">
        <v>69</v>
      </c>
    </row>
    <row r="122" spans="1:16" x14ac:dyDescent="0.25">
      <c r="A122" s="3" t="s">
        <v>16</v>
      </c>
      <c r="B122" s="3" t="s">
        <v>139</v>
      </c>
      <c r="C122" s="4">
        <v>160990</v>
      </c>
      <c r="D122" s="5" t="s">
        <v>188</v>
      </c>
      <c r="E122" s="6">
        <v>45083</v>
      </c>
      <c r="F122" s="6"/>
      <c r="G122" s="7" t="s">
        <v>40</v>
      </c>
      <c r="H122" s="4" t="s">
        <v>92</v>
      </c>
      <c r="I122" s="4" t="s">
        <v>22</v>
      </c>
      <c r="J122" s="8">
        <v>44804</v>
      </c>
      <c r="K122" s="8" t="s">
        <v>23</v>
      </c>
      <c r="L122" s="5" t="s">
        <v>103</v>
      </c>
      <c r="M122" s="5" t="s">
        <v>52</v>
      </c>
      <c r="N122" s="5">
        <v>0</v>
      </c>
      <c r="O122" s="9">
        <v>2023</v>
      </c>
      <c r="P122" s="9" t="s">
        <v>69</v>
      </c>
    </row>
    <row r="123" spans="1:16" x14ac:dyDescent="0.25">
      <c r="A123" s="3" t="s">
        <v>26</v>
      </c>
      <c r="B123" s="3"/>
      <c r="C123" s="4">
        <v>170513</v>
      </c>
      <c r="D123" s="5" t="s">
        <v>189</v>
      </c>
      <c r="E123" s="6">
        <v>45085</v>
      </c>
      <c r="F123" s="6">
        <v>45382</v>
      </c>
      <c r="G123" s="7" t="s">
        <v>40</v>
      </c>
      <c r="H123" s="4" t="s">
        <v>92</v>
      </c>
      <c r="I123" s="4" t="s">
        <v>41</v>
      </c>
      <c r="J123" s="8">
        <v>44712</v>
      </c>
      <c r="K123" s="8" t="s">
        <v>23</v>
      </c>
      <c r="L123" s="5" t="s">
        <v>30</v>
      </c>
      <c r="M123" s="5" t="s">
        <v>24</v>
      </c>
      <c r="N123" s="5">
        <v>7</v>
      </c>
      <c r="O123" s="9">
        <v>2023</v>
      </c>
      <c r="P123" s="9" t="s">
        <v>69</v>
      </c>
    </row>
    <row r="124" spans="1:16" x14ac:dyDescent="0.25">
      <c r="A124" s="3" t="s">
        <v>16</v>
      </c>
      <c r="B124" s="3"/>
      <c r="C124" s="4">
        <v>167822</v>
      </c>
      <c r="D124" s="5" t="s">
        <v>190</v>
      </c>
      <c r="E124" s="6">
        <v>45106</v>
      </c>
      <c r="F124" s="6"/>
      <c r="G124" s="7" t="s">
        <v>40</v>
      </c>
      <c r="H124" s="4" t="s">
        <v>92</v>
      </c>
      <c r="I124" s="4" t="s">
        <v>22</v>
      </c>
      <c r="J124" s="8">
        <v>44773</v>
      </c>
      <c r="K124" s="8" t="s">
        <v>29</v>
      </c>
      <c r="L124" s="5" t="s">
        <v>103</v>
      </c>
      <c r="M124" s="5" t="s">
        <v>52</v>
      </c>
      <c r="N124" s="5">
        <v>7</v>
      </c>
      <c r="O124" s="9">
        <v>2023</v>
      </c>
      <c r="P124" s="9" t="s">
        <v>69</v>
      </c>
    </row>
    <row r="125" spans="1:16" x14ac:dyDescent="0.25">
      <c r="A125" s="3" t="s">
        <v>16</v>
      </c>
      <c r="B125" s="3"/>
      <c r="C125" s="4">
        <v>161037</v>
      </c>
      <c r="D125" s="5" t="s">
        <v>191</v>
      </c>
      <c r="E125" s="6">
        <v>45111</v>
      </c>
      <c r="F125" s="6"/>
      <c r="G125" s="7" t="s">
        <v>40</v>
      </c>
      <c r="H125" s="4" t="s">
        <v>92</v>
      </c>
      <c r="I125" s="4" t="s">
        <v>41</v>
      </c>
      <c r="J125" s="8">
        <v>44629</v>
      </c>
      <c r="K125" s="8" t="s">
        <v>23</v>
      </c>
      <c r="L125" s="5" t="s">
        <v>103</v>
      </c>
      <c r="M125" s="5" t="s">
        <v>24</v>
      </c>
      <c r="N125" s="5">
        <v>5</v>
      </c>
      <c r="O125" s="9">
        <v>2023</v>
      </c>
      <c r="P125" s="9" t="s">
        <v>69</v>
      </c>
    </row>
    <row r="126" spans="1:16" x14ac:dyDescent="0.25">
      <c r="A126" s="3" t="s">
        <v>16</v>
      </c>
      <c r="B126" s="3"/>
      <c r="C126" s="4">
        <v>153255</v>
      </c>
      <c r="D126" s="5" t="s">
        <v>192</v>
      </c>
      <c r="E126" s="6">
        <v>45120</v>
      </c>
      <c r="F126" s="6"/>
      <c r="G126" s="7" t="s">
        <v>40</v>
      </c>
      <c r="H126" s="4" t="s">
        <v>92</v>
      </c>
      <c r="I126" s="4" t="s">
        <v>41</v>
      </c>
      <c r="J126" s="8">
        <v>44590</v>
      </c>
      <c r="K126" s="8" t="s">
        <v>23</v>
      </c>
      <c r="L126" s="5" t="s">
        <v>103</v>
      </c>
      <c r="M126" s="5" t="s">
        <v>37</v>
      </c>
      <c r="N126" s="5">
        <v>3.8</v>
      </c>
      <c r="O126" s="9">
        <v>2023</v>
      </c>
      <c r="P126" s="9" t="s">
        <v>69</v>
      </c>
    </row>
    <row r="127" spans="1:16" x14ac:dyDescent="0.25">
      <c r="A127" s="3" t="s">
        <v>16</v>
      </c>
      <c r="B127" s="3"/>
      <c r="C127" s="4">
        <v>123179</v>
      </c>
      <c r="D127" s="5" t="s">
        <v>193</v>
      </c>
      <c r="E127" s="6">
        <v>45125</v>
      </c>
      <c r="F127" s="6"/>
      <c r="G127" s="7" t="s">
        <v>40</v>
      </c>
      <c r="H127" s="4" t="s">
        <v>92</v>
      </c>
      <c r="I127" s="4" t="s">
        <v>41</v>
      </c>
      <c r="J127" s="8">
        <v>44612</v>
      </c>
      <c r="K127" s="8" t="s">
        <v>23</v>
      </c>
      <c r="L127" s="5" t="s">
        <v>30</v>
      </c>
      <c r="M127" s="5" t="s">
        <v>52</v>
      </c>
      <c r="N127" s="5">
        <v>6.5</v>
      </c>
      <c r="O127" s="9">
        <v>2023</v>
      </c>
      <c r="P127" s="9" t="s">
        <v>69</v>
      </c>
    </row>
    <row r="128" spans="1:16" x14ac:dyDescent="0.25">
      <c r="A128" s="3" t="s">
        <v>16</v>
      </c>
      <c r="B128" s="3"/>
      <c r="C128" s="4">
        <v>189554</v>
      </c>
      <c r="D128" s="5" t="s">
        <v>194</v>
      </c>
      <c r="E128" s="6">
        <v>45134</v>
      </c>
      <c r="F128" s="6"/>
      <c r="G128" s="7" t="s">
        <v>40</v>
      </c>
      <c r="H128" s="4" t="s">
        <v>92</v>
      </c>
      <c r="I128" s="4" t="s">
        <v>41</v>
      </c>
      <c r="J128" s="8">
        <v>44766</v>
      </c>
      <c r="K128" s="8" t="s">
        <v>29</v>
      </c>
      <c r="L128" s="5" t="s">
        <v>30</v>
      </c>
      <c r="M128" s="5" t="s">
        <v>52</v>
      </c>
      <c r="N128" s="5">
        <v>8</v>
      </c>
      <c r="O128" s="9">
        <v>2023</v>
      </c>
      <c r="P128" s="9" t="s">
        <v>69</v>
      </c>
    </row>
    <row r="129" spans="1:16" x14ac:dyDescent="0.25">
      <c r="A129" s="3" t="s">
        <v>16</v>
      </c>
      <c r="B129" s="3"/>
      <c r="C129" s="4">
        <v>186786</v>
      </c>
      <c r="D129" s="5" t="s">
        <v>195</v>
      </c>
      <c r="E129" s="6">
        <v>45139</v>
      </c>
      <c r="F129" s="6"/>
      <c r="G129" s="7" t="s">
        <v>20</v>
      </c>
      <c r="H129" s="4" t="s">
        <v>92</v>
      </c>
      <c r="I129" s="4" t="s">
        <v>41</v>
      </c>
      <c r="J129" s="8">
        <v>44819</v>
      </c>
      <c r="K129" s="8" t="s">
        <v>23</v>
      </c>
      <c r="L129" s="5" t="s">
        <v>103</v>
      </c>
      <c r="M129" s="5" t="s">
        <v>65</v>
      </c>
      <c r="N129" s="5">
        <v>1.5</v>
      </c>
      <c r="O129" s="9">
        <v>2023</v>
      </c>
      <c r="P129" s="9" t="s">
        <v>69</v>
      </c>
    </row>
    <row r="130" spans="1:16" x14ac:dyDescent="0.25">
      <c r="A130" s="3" t="s">
        <v>16</v>
      </c>
      <c r="B130" s="3"/>
      <c r="C130" s="4">
        <v>186818</v>
      </c>
      <c r="D130" s="5" t="s">
        <v>196</v>
      </c>
      <c r="E130" s="6">
        <v>45141</v>
      </c>
      <c r="F130" s="6"/>
      <c r="G130" s="7" t="s">
        <v>20</v>
      </c>
      <c r="H130" s="4" t="s">
        <v>92</v>
      </c>
      <c r="I130" s="4" t="s">
        <v>22</v>
      </c>
      <c r="J130" s="8">
        <v>44696</v>
      </c>
      <c r="K130" s="8" t="s">
        <v>23</v>
      </c>
      <c r="L130" s="5" t="s">
        <v>30</v>
      </c>
      <c r="M130" s="5" t="s">
        <v>65</v>
      </c>
      <c r="N130" s="5">
        <v>7</v>
      </c>
      <c r="O130" s="9">
        <v>2023</v>
      </c>
      <c r="P130" s="9" t="s">
        <v>69</v>
      </c>
    </row>
    <row r="131" spans="1:16" x14ac:dyDescent="0.25">
      <c r="A131" s="3" t="s">
        <v>16</v>
      </c>
      <c r="B131" s="3"/>
      <c r="C131" s="4">
        <v>147963</v>
      </c>
      <c r="D131" s="5" t="s">
        <v>197</v>
      </c>
      <c r="E131" s="6">
        <v>45154</v>
      </c>
      <c r="F131" s="6"/>
      <c r="G131" s="7" t="s">
        <v>40</v>
      </c>
      <c r="H131" s="4" t="s">
        <v>92</v>
      </c>
      <c r="I131" s="4" t="s">
        <v>41</v>
      </c>
      <c r="J131" s="8">
        <v>44620</v>
      </c>
      <c r="K131" s="8" t="s">
        <v>29</v>
      </c>
      <c r="L131" s="5" t="s">
        <v>30</v>
      </c>
      <c r="M131" s="5" t="s">
        <v>24</v>
      </c>
      <c r="N131" s="5">
        <v>15</v>
      </c>
      <c r="O131" s="9">
        <v>2023</v>
      </c>
      <c r="P131" s="9" t="s">
        <v>69</v>
      </c>
    </row>
    <row r="132" spans="1:16" x14ac:dyDescent="0.25">
      <c r="A132" s="3" t="s">
        <v>16</v>
      </c>
      <c r="B132" s="3"/>
      <c r="C132" s="4">
        <v>150614</v>
      </c>
      <c r="D132" s="5" t="s">
        <v>198</v>
      </c>
      <c r="E132" s="6">
        <v>45181</v>
      </c>
      <c r="F132" s="6"/>
      <c r="G132" s="7" t="s">
        <v>40</v>
      </c>
      <c r="H132" s="4" t="s">
        <v>92</v>
      </c>
      <c r="I132" s="4" t="s">
        <v>22</v>
      </c>
      <c r="J132" s="8">
        <v>44830</v>
      </c>
      <c r="K132" s="8" t="s">
        <v>29</v>
      </c>
      <c r="L132" s="5" t="s">
        <v>30</v>
      </c>
      <c r="M132" s="5" t="s">
        <v>46</v>
      </c>
      <c r="N132" s="5">
        <v>10.7</v>
      </c>
      <c r="O132" s="9">
        <v>2023</v>
      </c>
      <c r="P132" s="9" t="s">
        <v>69</v>
      </c>
    </row>
    <row r="133" spans="1:16" x14ac:dyDescent="0.25">
      <c r="A133" s="3" t="s">
        <v>16</v>
      </c>
      <c r="B133" s="3"/>
      <c r="C133" s="4">
        <v>137151</v>
      </c>
      <c r="D133" s="5" t="s">
        <v>199</v>
      </c>
      <c r="E133" s="6">
        <v>45195</v>
      </c>
      <c r="F133" s="6"/>
      <c r="G133" s="7" t="s">
        <v>60</v>
      </c>
      <c r="H133" s="4" t="s">
        <v>92</v>
      </c>
      <c r="I133" s="4" t="s">
        <v>41</v>
      </c>
      <c r="J133" s="8">
        <v>44917</v>
      </c>
      <c r="K133" s="8" t="s">
        <v>23</v>
      </c>
      <c r="L133" s="5" t="s">
        <v>103</v>
      </c>
      <c r="M133" s="5" t="s">
        <v>65</v>
      </c>
      <c r="N133" s="5">
        <v>2</v>
      </c>
      <c r="O133" s="9">
        <v>2023</v>
      </c>
      <c r="P133" s="9" t="s">
        <v>69</v>
      </c>
    </row>
    <row r="134" spans="1:16" x14ac:dyDescent="0.25">
      <c r="A134" s="3" t="s">
        <v>16</v>
      </c>
      <c r="B134" s="3" t="s">
        <v>139</v>
      </c>
      <c r="C134" s="4">
        <v>173998</v>
      </c>
      <c r="D134" s="5" t="s">
        <v>200</v>
      </c>
      <c r="E134" s="6">
        <v>45227</v>
      </c>
      <c r="F134" s="6"/>
      <c r="G134" s="7" t="s">
        <v>40</v>
      </c>
      <c r="H134" s="4" t="s">
        <v>92</v>
      </c>
      <c r="I134" s="4" t="s">
        <v>22</v>
      </c>
      <c r="J134" s="8">
        <v>44271</v>
      </c>
      <c r="K134" s="8" t="s">
        <v>23</v>
      </c>
      <c r="L134" s="5" t="s">
        <v>30</v>
      </c>
      <c r="M134" s="5" t="s">
        <v>31</v>
      </c>
      <c r="N134" s="5">
        <v>5.3</v>
      </c>
      <c r="O134" s="9">
        <v>2023</v>
      </c>
      <c r="P134" s="9" t="s">
        <v>69</v>
      </c>
    </row>
    <row r="135" spans="1:16" x14ac:dyDescent="0.25">
      <c r="A135" s="3" t="s">
        <v>16</v>
      </c>
      <c r="B135" s="3" t="s">
        <v>139</v>
      </c>
      <c r="C135" s="4">
        <v>103925</v>
      </c>
      <c r="D135" s="5" t="s">
        <v>201</v>
      </c>
      <c r="E135" s="6">
        <v>45260</v>
      </c>
      <c r="F135" s="6"/>
      <c r="G135" s="7" t="s">
        <v>40</v>
      </c>
      <c r="H135" s="4" t="s">
        <v>92</v>
      </c>
      <c r="I135" s="4" t="s">
        <v>22</v>
      </c>
      <c r="J135" s="8">
        <v>44328</v>
      </c>
      <c r="K135" s="8" t="s">
        <v>29</v>
      </c>
      <c r="L135" s="5" t="s">
        <v>103</v>
      </c>
      <c r="M135" s="5" t="s">
        <v>42</v>
      </c>
      <c r="N135" s="5">
        <v>4.5</v>
      </c>
      <c r="O135" s="9">
        <v>2023</v>
      </c>
      <c r="P135" s="9" t="s">
        <v>76</v>
      </c>
    </row>
    <row r="136" spans="1:16" x14ac:dyDescent="0.25">
      <c r="A136" s="3" t="s">
        <v>16</v>
      </c>
      <c r="B136" s="3"/>
      <c r="C136" s="4">
        <v>118694</v>
      </c>
      <c r="D136" s="5" t="s">
        <v>202</v>
      </c>
      <c r="E136" s="6">
        <v>45265</v>
      </c>
      <c r="F136" s="6"/>
      <c r="G136" s="7" t="s">
        <v>40</v>
      </c>
      <c r="H136" s="4" t="s">
        <v>92</v>
      </c>
      <c r="I136" s="4" t="s">
        <v>22</v>
      </c>
      <c r="J136" s="8">
        <v>44581</v>
      </c>
      <c r="K136" s="8" t="s">
        <v>23</v>
      </c>
      <c r="L136" s="5" t="s">
        <v>103</v>
      </c>
      <c r="M136" s="5" t="s">
        <v>42</v>
      </c>
      <c r="N136" s="5">
        <v>3.5</v>
      </c>
      <c r="O136" s="9">
        <v>2023</v>
      </c>
      <c r="P136" s="9" t="s">
        <v>76</v>
      </c>
    </row>
    <row r="137" spans="1:16" x14ac:dyDescent="0.25">
      <c r="A137" s="3" t="s">
        <v>16</v>
      </c>
      <c r="B137" s="3"/>
      <c r="C137" s="4">
        <v>195849</v>
      </c>
      <c r="D137" s="5" t="s">
        <v>203</v>
      </c>
      <c r="E137" s="6">
        <v>45265</v>
      </c>
      <c r="F137" s="6"/>
      <c r="G137" s="7" t="s">
        <v>40</v>
      </c>
      <c r="H137" s="4" t="s">
        <v>92</v>
      </c>
      <c r="I137" s="4" t="s">
        <v>41</v>
      </c>
      <c r="J137" s="8">
        <v>44786</v>
      </c>
      <c r="K137" s="8" t="s">
        <v>23</v>
      </c>
      <c r="L137" s="5" t="s">
        <v>103</v>
      </c>
      <c r="M137" s="5" t="s">
        <v>42</v>
      </c>
      <c r="N137" s="5">
        <v>1.5</v>
      </c>
      <c r="O137" s="9">
        <v>2023</v>
      </c>
      <c r="P137" s="9" t="s">
        <v>76</v>
      </c>
    </row>
    <row r="138" spans="1:16" x14ac:dyDescent="0.25">
      <c r="A138" s="3" t="s">
        <v>16</v>
      </c>
      <c r="B138" s="3"/>
      <c r="C138" s="4">
        <v>182665</v>
      </c>
      <c r="D138" s="5" t="s">
        <v>204</v>
      </c>
      <c r="E138" s="6">
        <v>45267</v>
      </c>
      <c r="F138" s="6"/>
      <c r="G138" s="7" t="s">
        <v>40</v>
      </c>
      <c r="H138" s="4" t="s">
        <v>92</v>
      </c>
      <c r="I138" s="4" t="s">
        <v>41</v>
      </c>
      <c r="J138" s="8">
        <v>44622</v>
      </c>
      <c r="K138" s="8" t="s">
        <v>29</v>
      </c>
      <c r="L138" s="5" t="s">
        <v>30</v>
      </c>
      <c r="M138" s="5" t="s">
        <v>37</v>
      </c>
      <c r="N138" s="5">
        <v>10.9</v>
      </c>
      <c r="O138" s="9">
        <v>2023</v>
      </c>
      <c r="P138" s="9" t="s">
        <v>76</v>
      </c>
    </row>
    <row r="139" spans="1:16" x14ac:dyDescent="0.25">
      <c r="A139" s="3" t="s">
        <v>16</v>
      </c>
      <c r="B139" s="3"/>
      <c r="C139" s="4">
        <v>151067</v>
      </c>
      <c r="D139" s="5" t="s">
        <v>55</v>
      </c>
      <c r="E139" s="6">
        <v>45272</v>
      </c>
      <c r="F139" s="6"/>
      <c r="G139" s="5" t="s">
        <v>45</v>
      </c>
      <c r="H139" s="4" t="s">
        <v>92</v>
      </c>
      <c r="I139" s="4" t="s">
        <v>41</v>
      </c>
      <c r="J139" s="8">
        <v>44764</v>
      </c>
      <c r="K139" s="8" t="s">
        <v>29</v>
      </c>
      <c r="L139" s="5" t="s">
        <v>103</v>
      </c>
      <c r="M139" s="5" t="s">
        <v>52</v>
      </c>
      <c r="N139" s="5">
        <v>2.8</v>
      </c>
      <c r="O139" s="9">
        <v>2023</v>
      </c>
      <c r="P139" s="9" t="s">
        <v>76</v>
      </c>
    </row>
    <row r="140" spans="1:16" x14ac:dyDescent="0.25">
      <c r="A140" s="3" t="s">
        <v>16</v>
      </c>
      <c r="B140" s="3" t="s">
        <v>139</v>
      </c>
      <c r="C140" s="4">
        <v>188212</v>
      </c>
      <c r="D140" s="5" t="s">
        <v>205</v>
      </c>
      <c r="E140" s="6">
        <v>45274</v>
      </c>
      <c r="F140" s="6"/>
      <c r="G140" s="7" t="s">
        <v>40</v>
      </c>
      <c r="H140" s="4" t="s">
        <v>92</v>
      </c>
      <c r="I140" s="4" t="s">
        <v>22</v>
      </c>
      <c r="J140" s="8">
        <v>44542</v>
      </c>
      <c r="K140" s="8" t="s">
        <v>29</v>
      </c>
      <c r="L140" s="5" t="s">
        <v>30</v>
      </c>
      <c r="M140" s="5" t="s">
        <v>37</v>
      </c>
      <c r="N140" s="5">
        <v>7.5</v>
      </c>
      <c r="O140" s="9">
        <v>2023</v>
      </c>
      <c r="P140" s="9" t="s">
        <v>76</v>
      </c>
    </row>
    <row r="141" spans="1:16" x14ac:dyDescent="0.25">
      <c r="A141" s="3" t="s">
        <v>16</v>
      </c>
      <c r="B141" s="3" t="s">
        <v>139</v>
      </c>
      <c r="C141" s="4">
        <v>188527</v>
      </c>
      <c r="D141" s="5" t="s">
        <v>206</v>
      </c>
      <c r="E141" s="6">
        <v>45274</v>
      </c>
      <c r="F141" s="6"/>
      <c r="G141" s="7" t="s">
        <v>40</v>
      </c>
      <c r="H141" s="4" t="s">
        <v>92</v>
      </c>
      <c r="I141" s="4" t="s">
        <v>41</v>
      </c>
      <c r="J141" s="8">
        <v>44701</v>
      </c>
      <c r="K141" s="8" t="s">
        <v>23</v>
      </c>
      <c r="L141" s="5" t="s">
        <v>103</v>
      </c>
      <c r="M141" s="5" t="s">
        <v>42</v>
      </c>
      <c r="N141" s="5">
        <v>10</v>
      </c>
      <c r="O141" s="9">
        <v>2023</v>
      </c>
      <c r="P141" s="9" t="s">
        <v>76</v>
      </c>
    </row>
    <row r="142" spans="1:16" x14ac:dyDescent="0.25">
      <c r="A142" s="3" t="s">
        <v>16</v>
      </c>
      <c r="B142" s="3"/>
      <c r="C142" s="4">
        <v>151539</v>
      </c>
      <c r="D142" s="5" t="s">
        <v>207</v>
      </c>
      <c r="E142" s="6">
        <v>45279</v>
      </c>
      <c r="F142" s="6"/>
      <c r="G142" s="7" t="s">
        <v>40</v>
      </c>
      <c r="H142" s="4" t="s">
        <v>92</v>
      </c>
      <c r="I142" s="4" t="s">
        <v>41</v>
      </c>
      <c r="J142" s="8">
        <v>44613</v>
      </c>
      <c r="K142" s="8" t="s">
        <v>23</v>
      </c>
      <c r="L142" s="5" t="s">
        <v>103</v>
      </c>
      <c r="M142" s="5" t="s">
        <v>42</v>
      </c>
      <c r="N142" s="5">
        <v>0</v>
      </c>
      <c r="O142" s="9">
        <v>2023</v>
      </c>
      <c r="P142" s="9" t="s">
        <v>76</v>
      </c>
    </row>
    <row r="143" spans="1:16" x14ac:dyDescent="0.25">
      <c r="A143" s="3" t="s">
        <v>16</v>
      </c>
      <c r="B143" s="3"/>
      <c r="C143" s="4">
        <v>148895</v>
      </c>
      <c r="D143" s="5" t="s">
        <v>208</v>
      </c>
      <c r="E143" s="6">
        <v>45288</v>
      </c>
      <c r="F143" s="6"/>
      <c r="G143" s="5" t="s">
        <v>45</v>
      </c>
      <c r="H143" s="4" t="s">
        <v>92</v>
      </c>
      <c r="I143" s="4" t="s">
        <v>41</v>
      </c>
      <c r="J143" s="8">
        <v>44668</v>
      </c>
      <c r="K143" s="8" t="s">
        <v>23</v>
      </c>
      <c r="L143" s="5" t="s">
        <v>103</v>
      </c>
      <c r="M143" s="5" t="s">
        <v>52</v>
      </c>
      <c r="N143" s="5">
        <v>0</v>
      </c>
      <c r="O143" s="9">
        <v>2023</v>
      </c>
      <c r="P143" s="9" t="s">
        <v>76</v>
      </c>
    </row>
    <row r="144" spans="1:16" x14ac:dyDescent="0.25">
      <c r="A144" s="3" t="s">
        <v>16</v>
      </c>
      <c r="B144" s="3" t="s">
        <v>139</v>
      </c>
      <c r="C144" s="4">
        <v>114477</v>
      </c>
      <c r="D144" s="5" t="s">
        <v>209</v>
      </c>
      <c r="E144" s="6">
        <v>45295</v>
      </c>
      <c r="F144" s="6"/>
      <c r="G144" s="7" t="s">
        <v>40</v>
      </c>
      <c r="H144" s="4" t="s">
        <v>92</v>
      </c>
      <c r="I144" s="4" t="s">
        <v>22</v>
      </c>
      <c r="J144" s="8">
        <v>44386</v>
      </c>
      <c r="K144" s="8" t="s">
        <v>23</v>
      </c>
      <c r="L144" s="5" t="s">
        <v>103</v>
      </c>
      <c r="M144" s="5" t="s">
        <v>42</v>
      </c>
      <c r="N144" s="5">
        <v>1.6</v>
      </c>
      <c r="O144" s="9">
        <v>2024</v>
      </c>
      <c r="P144" s="9" t="s">
        <v>76</v>
      </c>
    </row>
    <row r="145" spans="1:16" x14ac:dyDescent="0.25">
      <c r="A145" s="3" t="s">
        <v>16</v>
      </c>
      <c r="B145" s="3"/>
      <c r="C145" s="4">
        <v>170085</v>
      </c>
      <c r="D145" s="5" t="s">
        <v>210</v>
      </c>
      <c r="E145" s="6">
        <v>45302</v>
      </c>
      <c r="F145" s="6"/>
      <c r="G145" s="7" t="s">
        <v>40</v>
      </c>
      <c r="H145" s="4" t="s">
        <v>92</v>
      </c>
      <c r="I145" s="4" t="s">
        <v>22</v>
      </c>
      <c r="J145" s="8">
        <v>45144</v>
      </c>
      <c r="K145" s="8" t="s">
        <v>23</v>
      </c>
      <c r="L145" s="5" t="s">
        <v>103</v>
      </c>
      <c r="M145" s="5" t="s">
        <v>42</v>
      </c>
      <c r="N145" s="5">
        <v>3.5</v>
      </c>
      <c r="O145" s="9">
        <v>2024</v>
      </c>
      <c r="P145" s="9" t="s">
        <v>76</v>
      </c>
    </row>
    <row r="146" spans="1:16" x14ac:dyDescent="0.25">
      <c r="A146" s="3" t="s">
        <v>16</v>
      </c>
      <c r="B146" s="3"/>
      <c r="C146" s="4">
        <v>148355</v>
      </c>
      <c r="D146" s="5" t="s">
        <v>211</v>
      </c>
      <c r="E146" s="6">
        <v>45302</v>
      </c>
      <c r="F146" s="6"/>
      <c r="G146" s="7" t="s">
        <v>20</v>
      </c>
      <c r="H146" s="4" t="s">
        <v>92</v>
      </c>
      <c r="I146" s="4" t="s">
        <v>22</v>
      </c>
      <c r="J146" s="8">
        <v>44433</v>
      </c>
      <c r="K146" s="8" t="s">
        <v>23</v>
      </c>
      <c r="L146" s="5" t="s">
        <v>103</v>
      </c>
      <c r="M146" s="5" t="s">
        <v>52</v>
      </c>
      <c r="N146" s="5">
        <v>14</v>
      </c>
      <c r="O146" s="9">
        <v>2024</v>
      </c>
      <c r="P146" s="9" t="s">
        <v>76</v>
      </c>
    </row>
    <row r="147" spans="1:16" x14ac:dyDescent="0.25">
      <c r="A147" s="3" t="s">
        <v>16</v>
      </c>
      <c r="B147" s="3"/>
      <c r="C147" s="4">
        <v>132724</v>
      </c>
      <c r="D147" s="5" t="s">
        <v>212</v>
      </c>
      <c r="E147" s="6">
        <v>45314</v>
      </c>
      <c r="F147" s="6"/>
      <c r="G147" s="5" t="s">
        <v>55</v>
      </c>
      <c r="H147" s="4" t="s">
        <v>92</v>
      </c>
      <c r="I147" s="4" t="s">
        <v>22</v>
      </c>
      <c r="J147" s="8">
        <v>45021</v>
      </c>
      <c r="K147" s="8" t="s">
        <v>23</v>
      </c>
      <c r="L147" s="5" t="s">
        <v>103</v>
      </c>
      <c r="M147" s="5" t="s">
        <v>42</v>
      </c>
      <c r="N147" s="5">
        <v>0.6</v>
      </c>
      <c r="O147" s="9">
        <v>2024</v>
      </c>
      <c r="P147" s="9" t="s">
        <v>76</v>
      </c>
    </row>
    <row r="148" spans="1:16" x14ac:dyDescent="0.25">
      <c r="A148" s="3" t="s">
        <v>16</v>
      </c>
      <c r="B148" s="3"/>
      <c r="C148" s="4">
        <v>136024</v>
      </c>
      <c r="D148" s="5" t="s">
        <v>213</v>
      </c>
      <c r="E148" s="6">
        <v>45314</v>
      </c>
      <c r="F148" s="6"/>
      <c r="G148" s="7" t="s">
        <v>60</v>
      </c>
      <c r="H148" s="4" t="s">
        <v>92</v>
      </c>
      <c r="I148" s="4" t="s">
        <v>22</v>
      </c>
      <c r="J148" s="8">
        <v>44524</v>
      </c>
      <c r="K148" s="8" t="s">
        <v>23</v>
      </c>
      <c r="L148" s="5" t="s">
        <v>95</v>
      </c>
      <c r="M148" s="5" t="s">
        <v>52</v>
      </c>
      <c r="N148" s="5">
        <v>14</v>
      </c>
      <c r="O148" s="9">
        <v>2024</v>
      </c>
      <c r="P148" s="9" t="s">
        <v>76</v>
      </c>
    </row>
    <row r="149" spans="1:16" x14ac:dyDescent="0.25">
      <c r="A149" s="3" t="s">
        <v>16</v>
      </c>
      <c r="B149" s="3" t="s">
        <v>139</v>
      </c>
      <c r="C149" s="4">
        <v>186654</v>
      </c>
      <c r="D149" s="5" t="s">
        <v>214</v>
      </c>
      <c r="E149" s="6">
        <v>45323</v>
      </c>
      <c r="F149" s="6"/>
      <c r="G149" s="7" t="s">
        <v>40</v>
      </c>
      <c r="H149" s="4" t="s">
        <v>92</v>
      </c>
      <c r="I149" s="4" t="s">
        <v>41</v>
      </c>
      <c r="J149" s="8">
        <v>44708</v>
      </c>
      <c r="K149" s="8" t="s">
        <v>23</v>
      </c>
      <c r="L149" s="5" t="s">
        <v>103</v>
      </c>
      <c r="M149" s="5" t="s">
        <v>52</v>
      </c>
      <c r="N149" s="5">
        <v>3.3</v>
      </c>
      <c r="O149" s="9">
        <v>2024</v>
      </c>
      <c r="P149" s="9" t="s">
        <v>76</v>
      </c>
    </row>
    <row r="150" spans="1:16" x14ac:dyDescent="0.25">
      <c r="A150" s="3" t="s">
        <v>16</v>
      </c>
      <c r="B150" s="3"/>
      <c r="C150" s="4">
        <v>140505</v>
      </c>
      <c r="D150" s="5" t="s">
        <v>215</v>
      </c>
      <c r="E150" s="6">
        <v>45323</v>
      </c>
      <c r="F150" s="6"/>
      <c r="G150" s="7" t="s">
        <v>20</v>
      </c>
      <c r="H150" s="4" t="s">
        <v>92</v>
      </c>
      <c r="I150" s="4" t="s">
        <v>41</v>
      </c>
      <c r="J150" s="8">
        <v>44504</v>
      </c>
      <c r="K150" s="8" t="s">
        <v>23</v>
      </c>
      <c r="L150" s="5" t="s">
        <v>103</v>
      </c>
      <c r="M150" s="5" t="s">
        <v>52</v>
      </c>
      <c r="N150" s="5">
        <v>13</v>
      </c>
      <c r="O150" s="9">
        <v>2024</v>
      </c>
      <c r="P150" s="9" t="s">
        <v>76</v>
      </c>
    </row>
    <row r="151" spans="1:16" x14ac:dyDescent="0.25">
      <c r="A151" s="3" t="s">
        <v>16</v>
      </c>
      <c r="B151" s="3"/>
      <c r="C151" s="4">
        <v>166500</v>
      </c>
      <c r="D151" s="5" t="s">
        <v>216</v>
      </c>
      <c r="E151" s="6">
        <v>45328</v>
      </c>
      <c r="F151" s="6"/>
      <c r="G151" s="7" t="s">
        <v>40</v>
      </c>
      <c r="H151" s="4" t="s">
        <v>92</v>
      </c>
      <c r="I151" s="4" t="s">
        <v>41</v>
      </c>
      <c r="J151" s="8">
        <v>44906</v>
      </c>
      <c r="K151" s="8" t="s">
        <v>23</v>
      </c>
      <c r="L151" s="5" t="s">
        <v>103</v>
      </c>
      <c r="M151" s="5" t="s">
        <v>37</v>
      </c>
      <c r="N151" s="5">
        <v>1.5</v>
      </c>
      <c r="O151" s="9">
        <v>2024</v>
      </c>
      <c r="P151" s="9" t="s">
        <v>76</v>
      </c>
    </row>
    <row r="152" spans="1:16" x14ac:dyDescent="0.25">
      <c r="A152" s="3" t="s">
        <v>16</v>
      </c>
      <c r="B152" s="3" t="s">
        <v>139</v>
      </c>
      <c r="C152" s="4">
        <v>196256</v>
      </c>
      <c r="D152" s="5" t="s">
        <v>217</v>
      </c>
      <c r="E152" s="6">
        <v>45366</v>
      </c>
      <c r="F152" s="6"/>
      <c r="G152" s="7" t="s">
        <v>40</v>
      </c>
      <c r="H152" s="4" t="s">
        <v>92</v>
      </c>
      <c r="I152" s="4" t="s">
        <v>41</v>
      </c>
      <c r="J152" s="8">
        <v>44319</v>
      </c>
      <c r="K152" s="8" t="s">
        <v>29</v>
      </c>
      <c r="L152" s="5" t="s">
        <v>103</v>
      </c>
      <c r="M152" s="5" t="s">
        <v>52</v>
      </c>
      <c r="N152" s="5">
        <v>3</v>
      </c>
      <c r="O152" s="9">
        <v>2024</v>
      </c>
      <c r="P152" s="9" t="s">
        <v>76</v>
      </c>
    </row>
    <row r="153" spans="1:16" x14ac:dyDescent="0.25">
      <c r="A153" s="3" t="s">
        <v>16</v>
      </c>
      <c r="B153" s="3"/>
      <c r="C153" s="4">
        <v>107622</v>
      </c>
      <c r="D153" s="5" t="s">
        <v>218</v>
      </c>
      <c r="E153" s="6">
        <v>45366</v>
      </c>
      <c r="F153" s="6"/>
      <c r="G153" s="7" t="s">
        <v>60</v>
      </c>
      <c r="H153" s="4" t="s">
        <v>92</v>
      </c>
      <c r="I153" s="4" t="s">
        <v>41</v>
      </c>
      <c r="J153" s="8">
        <v>44314</v>
      </c>
      <c r="K153" s="8" t="s">
        <v>23</v>
      </c>
      <c r="L153" s="5" t="s">
        <v>30</v>
      </c>
      <c r="M153" s="5" t="s">
        <v>52</v>
      </c>
      <c r="N153" s="5">
        <v>13</v>
      </c>
      <c r="O153" s="9">
        <v>2024</v>
      </c>
      <c r="P153" s="9" t="s">
        <v>76</v>
      </c>
    </row>
    <row r="154" spans="1:16" x14ac:dyDescent="0.25">
      <c r="A154" s="3" t="s">
        <v>16</v>
      </c>
      <c r="B154" s="3"/>
      <c r="C154" s="4">
        <v>140845</v>
      </c>
      <c r="D154" s="5" t="s">
        <v>219</v>
      </c>
      <c r="E154" s="6">
        <v>45374</v>
      </c>
      <c r="F154" s="6"/>
      <c r="G154" s="5" t="s">
        <v>45</v>
      </c>
      <c r="H154" s="4" t="s">
        <v>92</v>
      </c>
      <c r="I154" s="4" t="s">
        <v>22</v>
      </c>
      <c r="J154" s="8">
        <v>45081</v>
      </c>
      <c r="K154" s="8" t="s">
        <v>23</v>
      </c>
      <c r="L154" s="5" t="s">
        <v>30</v>
      </c>
      <c r="M154" s="5" t="s">
        <v>52</v>
      </c>
      <c r="N154" s="5">
        <v>10</v>
      </c>
      <c r="O154" s="9">
        <v>2024</v>
      </c>
      <c r="P154" s="9" t="s">
        <v>76</v>
      </c>
    </row>
    <row r="155" spans="1:16" x14ac:dyDescent="0.25">
      <c r="A155" s="3" t="s">
        <v>16</v>
      </c>
      <c r="B155" s="3"/>
      <c r="C155" s="4">
        <v>196163</v>
      </c>
      <c r="D155" s="5" t="s">
        <v>220</v>
      </c>
      <c r="E155" s="6">
        <v>45374</v>
      </c>
      <c r="F155" s="6"/>
      <c r="G155" s="5" t="s">
        <v>55</v>
      </c>
      <c r="H155" s="4" t="s">
        <v>92</v>
      </c>
      <c r="I155" s="4" t="s">
        <v>22</v>
      </c>
      <c r="J155" s="8">
        <v>44911</v>
      </c>
      <c r="K155" s="8" t="s">
        <v>23</v>
      </c>
      <c r="L155" s="5" t="s">
        <v>103</v>
      </c>
      <c r="M155" s="5" t="s">
        <v>52</v>
      </c>
      <c r="N155" s="5">
        <v>6.8</v>
      </c>
      <c r="O155" s="9">
        <v>2024</v>
      </c>
      <c r="P155" s="9" t="s">
        <v>76</v>
      </c>
    </row>
    <row r="156" spans="1:16" x14ac:dyDescent="0.25">
      <c r="A156" s="3" t="s">
        <v>16</v>
      </c>
      <c r="B156" s="3"/>
      <c r="C156" s="4">
        <v>143527</v>
      </c>
      <c r="D156" s="5" t="s">
        <v>221</v>
      </c>
      <c r="E156" s="6">
        <v>45374</v>
      </c>
      <c r="F156" s="6"/>
      <c r="G156" s="7" t="s">
        <v>20</v>
      </c>
      <c r="H156" s="4" t="s">
        <v>92</v>
      </c>
      <c r="I156" s="4" t="s">
        <v>22</v>
      </c>
      <c r="J156" s="8">
        <v>44241</v>
      </c>
      <c r="K156" s="8" t="s">
        <v>29</v>
      </c>
      <c r="L156" s="5" t="s">
        <v>95</v>
      </c>
      <c r="M156" s="5" t="s">
        <v>42</v>
      </c>
      <c r="N156" s="5">
        <v>7</v>
      </c>
      <c r="O156" s="9">
        <v>2024</v>
      </c>
      <c r="P156" s="9" t="s">
        <v>76</v>
      </c>
    </row>
    <row r="157" spans="1:16" x14ac:dyDescent="0.25">
      <c r="A157" s="3" t="s">
        <v>16</v>
      </c>
      <c r="B157" s="3"/>
      <c r="C157" s="4">
        <v>121781</v>
      </c>
      <c r="D157" s="5" t="s">
        <v>222</v>
      </c>
      <c r="E157" s="6">
        <v>45374</v>
      </c>
      <c r="F157" s="6"/>
      <c r="G157" s="7" t="s">
        <v>20</v>
      </c>
      <c r="H157" s="4" t="s">
        <v>92</v>
      </c>
      <c r="I157" s="4" t="s">
        <v>22</v>
      </c>
      <c r="J157" s="8">
        <v>44266</v>
      </c>
      <c r="K157" s="8" t="s">
        <v>23</v>
      </c>
      <c r="L157" s="5" t="s">
        <v>95</v>
      </c>
      <c r="M157" s="5" t="s">
        <v>42</v>
      </c>
      <c r="N157" s="5">
        <v>13</v>
      </c>
      <c r="O157" s="9">
        <v>2024</v>
      </c>
      <c r="P157" s="9" t="s">
        <v>76</v>
      </c>
    </row>
    <row r="158" spans="1:16" x14ac:dyDescent="0.25">
      <c r="A158" s="3" t="s">
        <v>16</v>
      </c>
      <c r="B158" s="3" t="s">
        <v>139</v>
      </c>
      <c r="C158" s="4">
        <v>190716</v>
      </c>
      <c r="D158" s="5" t="s">
        <v>223</v>
      </c>
      <c r="E158" s="6">
        <v>45385</v>
      </c>
      <c r="F158" s="6"/>
      <c r="G158" s="5" t="s">
        <v>45</v>
      </c>
      <c r="H158" s="4" t="s">
        <v>92</v>
      </c>
      <c r="I158" s="4" t="s">
        <v>41</v>
      </c>
      <c r="J158" s="8">
        <v>44362</v>
      </c>
      <c r="K158" s="8" t="s">
        <v>29</v>
      </c>
      <c r="L158" s="5" t="s">
        <v>103</v>
      </c>
      <c r="M158" s="5" t="s">
        <v>42</v>
      </c>
      <c r="N158" s="5">
        <v>4</v>
      </c>
      <c r="O158" s="9">
        <v>2024</v>
      </c>
      <c r="P158" s="9" t="s">
        <v>76</v>
      </c>
    </row>
    <row r="159" spans="1:16" x14ac:dyDescent="0.25">
      <c r="A159" s="3" t="s">
        <v>16</v>
      </c>
      <c r="B159" s="3"/>
      <c r="C159" s="4">
        <v>131453</v>
      </c>
      <c r="D159" s="5" t="s">
        <v>224</v>
      </c>
      <c r="E159" s="6">
        <v>45385</v>
      </c>
      <c r="F159" s="6"/>
      <c r="G159" s="7" t="s">
        <v>60</v>
      </c>
      <c r="H159" s="4" t="s">
        <v>92</v>
      </c>
      <c r="I159" s="4" t="s">
        <v>22</v>
      </c>
      <c r="J159" s="8">
        <v>44940</v>
      </c>
      <c r="K159" s="8" t="s">
        <v>23</v>
      </c>
      <c r="L159" s="5" t="s">
        <v>103</v>
      </c>
      <c r="M159" s="5" t="s">
        <v>24</v>
      </c>
      <c r="N159" s="5">
        <v>8</v>
      </c>
      <c r="O159" s="9">
        <v>2024</v>
      </c>
      <c r="P159" s="9" t="s">
        <v>76</v>
      </c>
    </row>
    <row r="160" spans="1:16" x14ac:dyDescent="0.25">
      <c r="A160" s="3" t="s">
        <v>16</v>
      </c>
      <c r="B160" s="3"/>
      <c r="C160" s="4">
        <v>133611</v>
      </c>
      <c r="D160" s="5" t="s">
        <v>225</v>
      </c>
      <c r="E160" s="6">
        <v>45401</v>
      </c>
      <c r="F160" s="6"/>
      <c r="G160" s="7" t="s">
        <v>60</v>
      </c>
      <c r="H160" s="4" t="s">
        <v>92</v>
      </c>
      <c r="I160" s="4" t="s">
        <v>41</v>
      </c>
      <c r="J160" s="8">
        <v>36300</v>
      </c>
      <c r="K160" s="8" t="s">
        <v>23</v>
      </c>
      <c r="L160" s="5" t="s">
        <v>103</v>
      </c>
      <c r="M160" s="5" t="s">
        <v>65</v>
      </c>
      <c r="N160" s="5">
        <v>0</v>
      </c>
      <c r="O160" s="9">
        <v>2024</v>
      </c>
      <c r="P160" s="9" t="s">
        <v>76</v>
      </c>
    </row>
    <row r="161" spans="1:16" x14ac:dyDescent="0.25">
      <c r="A161" s="3" t="s">
        <v>16</v>
      </c>
      <c r="B161" s="3"/>
      <c r="C161" s="4">
        <v>158773</v>
      </c>
      <c r="D161" s="5" t="s">
        <v>226</v>
      </c>
      <c r="E161" s="6">
        <v>45427</v>
      </c>
      <c r="F161" s="6"/>
      <c r="G161" s="5" t="s">
        <v>45</v>
      </c>
      <c r="H161" s="4" t="s">
        <v>92</v>
      </c>
      <c r="I161" s="4" t="s">
        <v>22</v>
      </c>
      <c r="J161" s="8">
        <v>45073</v>
      </c>
      <c r="K161" s="8" t="s">
        <v>23</v>
      </c>
      <c r="L161" s="5" t="s">
        <v>103</v>
      </c>
      <c r="M161" s="5" t="s">
        <v>42</v>
      </c>
      <c r="N161" s="5">
        <v>3</v>
      </c>
      <c r="O161" s="9">
        <v>2024</v>
      </c>
      <c r="P161" s="9" t="s">
        <v>76</v>
      </c>
    </row>
    <row r="162" spans="1:16" x14ac:dyDescent="0.25">
      <c r="A162" s="3" t="s">
        <v>16</v>
      </c>
      <c r="B162" s="3"/>
      <c r="C162" s="4">
        <v>109333</v>
      </c>
      <c r="D162" s="5" t="s">
        <v>227</v>
      </c>
      <c r="E162" s="6">
        <v>45434</v>
      </c>
      <c r="F162" s="6"/>
      <c r="G162" s="7" t="s">
        <v>40</v>
      </c>
      <c r="H162" s="4" t="s">
        <v>92</v>
      </c>
      <c r="I162" s="4" t="s">
        <v>22</v>
      </c>
      <c r="J162" s="8">
        <v>45142</v>
      </c>
      <c r="K162" s="8" t="s">
        <v>29</v>
      </c>
      <c r="L162" s="5" t="s">
        <v>30</v>
      </c>
      <c r="M162" s="5" t="s">
        <v>37</v>
      </c>
      <c r="N162" s="5">
        <v>10</v>
      </c>
      <c r="O162" s="9">
        <v>2024</v>
      </c>
      <c r="P162" s="9" t="s">
        <v>76</v>
      </c>
    </row>
    <row r="163" spans="1:16" x14ac:dyDescent="0.25">
      <c r="A163" s="3" t="s">
        <v>16</v>
      </c>
      <c r="B163" s="3"/>
      <c r="C163" s="4">
        <v>165233</v>
      </c>
      <c r="D163" s="5" t="s">
        <v>228</v>
      </c>
      <c r="E163" s="6">
        <v>45455</v>
      </c>
      <c r="F163" s="6"/>
      <c r="G163" s="7" t="s">
        <v>40</v>
      </c>
      <c r="H163" s="4" t="s">
        <v>92</v>
      </c>
      <c r="I163" s="4" t="s">
        <v>22</v>
      </c>
      <c r="J163" s="8">
        <v>45022</v>
      </c>
      <c r="K163" s="8" t="s">
        <v>23</v>
      </c>
      <c r="L163" s="5" t="s">
        <v>103</v>
      </c>
      <c r="M163" s="5" t="s">
        <v>42</v>
      </c>
      <c r="N163" s="5">
        <v>1.2</v>
      </c>
      <c r="O163" s="9">
        <v>2024</v>
      </c>
      <c r="P163" s="9" t="s">
        <v>76</v>
      </c>
    </row>
    <row r="164" spans="1:16" x14ac:dyDescent="0.25">
      <c r="A164" s="3" t="s">
        <v>16</v>
      </c>
      <c r="B164" s="3" t="s">
        <v>139</v>
      </c>
      <c r="C164" s="4">
        <v>103360</v>
      </c>
      <c r="D164" s="5" t="s">
        <v>229</v>
      </c>
      <c r="E164" s="6">
        <v>45569</v>
      </c>
      <c r="F164" s="6"/>
      <c r="G164" s="7" t="s">
        <v>40</v>
      </c>
      <c r="H164" s="4" t="s">
        <v>92</v>
      </c>
      <c r="I164" s="4" t="s">
        <v>41</v>
      </c>
      <c r="J164" s="8">
        <v>36982</v>
      </c>
      <c r="K164" s="8" t="s">
        <v>23</v>
      </c>
      <c r="L164" s="5" t="s">
        <v>103</v>
      </c>
      <c r="M164" s="5" t="s">
        <v>52</v>
      </c>
      <c r="N164" s="5">
        <v>0.11</v>
      </c>
      <c r="O164" s="9">
        <v>2024</v>
      </c>
      <c r="P164" s="9" t="s">
        <v>76</v>
      </c>
    </row>
    <row r="165" spans="1:16" x14ac:dyDescent="0.25">
      <c r="A165" s="3" t="s">
        <v>16</v>
      </c>
      <c r="B165" s="3"/>
      <c r="C165" s="4">
        <v>168841</v>
      </c>
      <c r="D165" s="5" t="s">
        <v>85</v>
      </c>
      <c r="E165" s="6">
        <v>45569</v>
      </c>
      <c r="F165" s="6"/>
      <c r="G165" s="7" t="s">
        <v>40</v>
      </c>
      <c r="H165" s="4" t="s">
        <v>92</v>
      </c>
      <c r="I165" s="4" t="s">
        <v>22</v>
      </c>
      <c r="J165" s="8">
        <v>29954</v>
      </c>
      <c r="K165" s="8" t="s">
        <v>29</v>
      </c>
      <c r="L165" s="5" t="s">
        <v>95</v>
      </c>
      <c r="M165" s="5" t="s">
        <v>65</v>
      </c>
      <c r="N165" s="5">
        <v>19</v>
      </c>
      <c r="O165" s="9">
        <v>2024</v>
      </c>
      <c r="P165" s="9" t="s">
        <v>76</v>
      </c>
    </row>
    <row r="166" spans="1:16" x14ac:dyDescent="0.25">
      <c r="A166" s="3" t="s">
        <v>26</v>
      </c>
      <c r="B166" s="3"/>
      <c r="C166" s="4">
        <v>123680</v>
      </c>
      <c r="D166" s="5" t="s">
        <v>230</v>
      </c>
      <c r="E166" s="6">
        <v>45658</v>
      </c>
      <c r="F166" s="6"/>
      <c r="G166" s="5" t="s">
        <v>85</v>
      </c>
      <c r="H166" s="4" t="s">
        <v>92</v>
      </c>
      <c r="I166" s="4" t="s">
        <v>41</v>
      </c>
      <c r="J166" s="8">
        <v>44211</v>
      </c>
      <c r="K166" s="8" t="s">
        <v>23</v>
      </c>
      <c r="L166" s="5" t="s">
        <v>103</v>
      </c>
      <c r="M166" s="5" t="s">
        <v>24</v>
      </c>
      <c r="N166" s="5">
        <v>0</v>
      </c>
      <c r="O166" s="9">
        <v>2025</v>
      </c>
      <c r="P166" s="9" t="s">
        <v>86</v>
      </c>
    </row>
    <row r="167" spans="1:16" x14ac:dyDescent="0.25">
      <c r="A167" s="3" t="s">
        <v>16</v>
      </c>
      <c r="B167" s="3"/>
      <c r="C167" s="4">
        <v>136555</v>
      </c>
      <c r="D167" s="5" t="s">
        <v>231</v>
      </c>
      <c r="E167" s="6">
        <v>45662</v>
      </c>
      <c r="F167" s="6"/>
      <c r="G167" s="5" t="s">
        <v>85</v>
      </c>
      <c r="H167" s="4" t="s">
        <v>92</v>
      </c>
      <c r="I167" s="4" t="s">
        <v>22</v>
      </c>
      <c r="J167" s="8">
        <v>44472</v>
      </c>
      <c r="K167" s="8" t="s">
        <v>29</v>
      </c>
      <c r="L167" s="5" t="s">
        <v>95</v>
      </c>
      <c r="M167" s="5" t="s">
        <v>31</v>
      </c>
      <c r="N167" s="5">
        <v>5</v>
      </c>
      <c r="O167" s="9">
        <v>2025</v>
      </c>
      <c r="P167" s="9" t="s">
        <v>86</v>
      </c>
    </row>
    <row r="168" spans="1:16" x14ac:dyDescent="0.25">
      <c r="A168" s="3" t="s">
        <v>16</v>
      </c>
      <c r="B168" s="3"/>
      <c r="C168" s="4">
        <v>109886</v>
      </c>
      <c r="D168" s="5" t="s">
        <v>232</v>
      </c>
      <c r="E168" s="6">
        <v>45664</v>
      </c>
      <c r="F168" s="6"/>
      <c r="G168" s="5" t="s">
        <v>85</v>
      </c>
      <c r="H168" s="4" t="s">
        <v>92</v>
      </c>
      <c r="I168" s="4" t="s">
        <v>41</v>
      </c>
      <c r="J168" s="8">
        <v>44540</v>
      </c>
      <c r="K168" s="8" t="s">
        <v>29</v>
      </c>
      <c r="L168" s="5" t="s">
        <v>95</v>
      </c>
      <c r="M168" s="5" t="s">
        <v>24</v>
      </c>
      <c r="N168" s="5">
        <v>14</v>
      </c>
      <c r="O168" s="9">
        <v>2025</v>
      </c>
      <c r="P168" s="9" t="s">
        <v>86</v>
      </c>
    </row>
    <row r="169" spans="1:16" x14ac:dyDescent="0.25">
      <c r="A169" s="3" t="s">
        <v>16</v>
      </c>
      <c r="B169" s="3"/>
      <c r="C169" s="4">
        <v>135596</v>
      </c>
      <c r="D169" s="5" t="s">
        <v>233</v>
      </c>
      <c r="E169" s="6">
        <v>45671</v>
      </c>
      <c r="F169" s="6"/>
      <c r="G169" s="5" t="s">
        <v>45</v>
      </c>
      <c r="H169" s="4" t="s">
        <v>92</v>
      </c>
      <c r="I169" s="4" t="s">
        <v>22</v>
      </c>
      <c r="J169" s="8">
        <v>44269</v>
      </c>
      <c r="K169" s="8" t="s">
        <v>23</v>
      </c>
      <c r="L169" s="5" t="s">
        <v>30</v>
      </c>
      <c r="M169" s="5" t="s">
        <v>24</v>
      </c>
      <c r="N169" s="5">
        <v>0</v>
      </c>
      <c r="O169" s="9">
        <v>2025</v>
      </c>
      <c r="P169" s="9" t="s">
        <v>86</v>
      </c>
    </row>
    <row r="170" spans="1:16" x14ac:dyDescent="0.25">
      <c r="A170" s="3" t="s">
        <v>16</v>
      </c>
      <c r="B170" s="3"/>
      <c r="C170" s="4">
        <v>102045</v>
      </c>
      <c r="D170" s="5" t="s">
        <v>234</v>
      </c>
      <c r="E170" s="6">
        <v>45720</v>
      </c>
      <c r="F170" s="6"/>
      <c r="G170" s="7" t="s">
        <v>40</v>
      </c>
      <c r="H170" s="4" t="s">
        <v>92</v>
      </c>
      <c r="I170" s="4" t="s">
        <v>41</v>
      </c>
      <c r="J170" s="8">
        <v>44216</v>
      </c>
      <c r="K170" s="8" t="s">
        <v>23</v>
      </c>
      <c r="L170" s="5" t="s">
        <v>95</v>
      </c>
      <c r="M170" s="5" t="s">
        <v>31</v>
      </c>
      <c r="N170" s="5">
        <v>17</v>
      </c>
      <c r="O170" s="9">
        <v>2025</v>
      </c>
      <c r="P170" s="9" t="s">
        <v>86</v>
      </c>
    </row>
    <row r="171" spans="1:16" x14ac:dyDescent="0.25">
      <c r="A171" s="3" t="s">
        <v>16</v>
      </c>
      <c r="B171" s="3"/>
      <c r="C171" s="4">
        <v>137966</v>
      </c>
      <c r="D171" s="5" t="s">
        <v>235</v>
      </c>
      <c r="E171" s="6">
        <v>45852</v>
      </c>
      <c r="F171" s="6"/>
      <c r="G171" s="7" t="s">
        <v>40</v>
      </c>
      <c r="H171" s="4" t="s">
        <v>92</v>
      </c>
      <c r="I171" s="4" t="s">
        <v>22</v>
      </c>
      <c r="J171" s="8">
        <v>44507</v>
      </c>
      <c r="K171" s="8" t="s">
        <v>29</v>
      </c>
      <c r="L171" s="5" t="s">
        <v>30</v>
      </c>
      <c r="M171" s="5" t="s">
        <v>24</v>
      </c>
      <c r="N171" s="5">
        <v>9</v>
      </c>
      <c r="O171" s="9">
        <v>2025</v>
      </c>
      <c r="P171" s="9" t="s">
        <v>86</v>
      </c>
    </row>
    <row r="172" spans="1:16" x14ac:dyDescent="0.25">
      <c r="A172" s="3" t="s">
        <v>16</v>
      </c>
      <c r="B172" s="3"/>
      <c r="C172" s="4">
        <v>146341</v>
      </c>
      <c r="D172" s="5" t="s">
        <v>236</v>
      </c>
      <c r="E172" s="6">
        <v>45857</v>
      </c>
      <c r="F172" s="6"/>
      <c r="G172" s="7" t="s">
        <v>40</v>
      </c>
      <c r="H172" s="4" t="s">
        <v>92</v>
      </c>
      <c r="I172" s="4" t="s">
        <v>41</v>
      </c>
      <c r="J172" s="8">
        <v>44220</v>
      </c>
      <c r="K172" s="8" t="s">
        <v>29</v>
      </c>
      <c r="L172" s="5" t="s">
        <v>30</v>
      </c>
      <c r="M172" s="5" t="s">
        <v>24</v>
      </c>
      <c r="N172" s="5">
        <v>13</v>
      </c>
      <c r="O172" s="9">
        <v>2025</v>
      </c>
      <c r="P172" s="9" t="s">
        <v>86</v>
      </c>
    </row>
  </sheetData>
  <hyperlinks>
    <hyperlink ref="D96" r:id="rId1" display="Prashantha.S@otis.com" xr:uid="{F89A9FF5-99B6-4759-B3CB-BCDDF3444A0E}"/>
    <hyperlink ref="D13" r:id="rId2" display="Ishwarya.S@otis.com" xr:uid="{1F5887D3-A295-4577-B168-C30ED864EFE5}"/>
    <hyperlink ref="D124" r:id="rId3" display="vijay.patil@otis.com" xr:uid="{C5124795-3D83-4084-B4B8-CBBA9B1916C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desmond ibeanusi</dc:creator>
  <cp:lastModifiedBy>desmond ibeanusi</cp:lastModifiedBy>
  <dcterms:created xsi:type="dcterms:W3CDTF">2026-08-16T09:22:26Z</dcterms:created>
  <dcterms:modified xsi:type="dcterms:W3CDTF">2026-08-16T17:49:53Z</dcterms:modified>
</cp:coreProperties>
</file>